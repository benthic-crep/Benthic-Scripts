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.Oliver\WORK\Projects\GITHUB Projects\Benthic-Scripts\NCRMP\FY26 Benthic Pipeline\Z. OBIS Taxonomy\"/>
    </mc:Choice>
  </mc:AlternateContent>
  <xr:revisionPtr revIDLastSave="0" documentId="13_ncr:40009_{583D412E-4B90-4B13-A093-800C81F5ADCB}" xr6:coauthVersionLast="47" xr6:coauthVersionMax="47" xr10:uidLastSave="{00000000-0000-0000-0000-000000000000}"/>
  <bookViews>
    <workbookView xWindow="-110" yWindow="-110" windowWidth="19420" windowHeight="10300"/>
  </bookViews>
  <sheets>
    <sheet name="All_Photoquad_codes_PC_NoSTR" sheetId="9" r:id="rId1"/>
    <sheet name="All_Photoquad_codes_ParentChild" sheetId="8" r:id="rId2"/>
    <sheet name="All_Photoquad_codes_HeirarchyTr" sheetId="1" r:id="rId3"/>
    <sheet name="All_BrokenDown" sheetId="2" r:id="rId4"/>
    <sheet name="BioticTaxonomic_CP" sheetId="7" r:id="rId5"/>
    <sheet name="BioticTaxonomic" sheetId="6" r:id="rId6"/>
    <sheet name="Abiotic" sheetId="3" r:id="rId7"/>
    <sheet name="Morphology" sheetId="4" r:id="rId8"/>
    <sheet name="TaxMorph" sheetId="5" r:id="rId9"/>
  </sheets>
  <definedNames>
    <definedName name="_xlnm._FilterDatabase" localSheetId="3" hidden="1">All_BrokenDown!$F$13:$G$114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7" i="9" l="1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7" i="9"/>
  <c r="A87" i="9"/>
  <c r="B86" i="9"/>
  <c r="A86" i="9"/>
  <c r="B85" i="9"/>
  <c r="A85" i="9"/>
  <c r="B84" i="9"/>
  <c r="A84" i="9"/>
  <c r="B82" i="9"/>
  <c r="A82" i="9"/>
  <c r="B81" i="9"/>
  <c r="A81" i="9"/>
  <c r="A118" i="8"/>
  <c r="B118" i="8"/>
  <c r="A91" i="8"/>
  <c r="B91" i="8"/>
  <c r="A96" i="8"/>
  <c r="B96" i="8"/>
  <c r="A99" i="8"/>
  <c r="B99" i="8"/>
  <c r="A93" i="8"/>
  <c r="B93" i="8"/>
  <c r="A97" i="8"/>
  <c r="B97" i="8"/>
  <c r="A100" i="8"/>
  <c r="B100" i="8"/>
  <c r="A102" i="8"/>
  <c r="B102" i="8"/>
  <c r="A92" i="8"/>
  <c r="B92" i="8"/>
  <c r="A98" i="8"/>
  <c r="B98" i="8"/>
  <c r="A101" i="8"/>
  <c r="B101" i="8"/>
  <c r="A103" i="8"/>
  <c r="B103" i="8"/>
  <c r="A94" i="8"/>
  <c r="B94" i="8"/>
  <c r="B90" i="8"/>
  <c r="A90" i="8"/>
  <c r="A89" i="8"/>
  <c r="B89" i="8"/>
  <c r="A104" i="8"/>
  <c r="B104" i="8"/>
  <c r="A105" i="8"/>
  <c r="B105" i="8"/>
  <c r="A106" i="8"/>
  <c r="B106" i="8"/>
  <c r="A107" i="8"/>
  <c r="B107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B88" i="8"/>
  <c r="A88" i="8"/>
  <c r="G86" i="7"/>
  <c r="F86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G65" i="7"/>
  <c r="F65" i="7"/>
  <c r="F79" i="7"/>
  <c r="G79" i="7"/>
  <c r="F48" i="7"/>
  <c r="G48" i="7"/>
  <c r="F49" i="7"/>
  <c r="G49" i="7"/>
  <c r="F50" i="7"/>
  <c r="G50" i="7"/>
  <c r="F51" i="7"/>
  <c r="G51" i="7"/>
  <c r="F2" i="7"/>
  <c r="G2" i="7"/>
  <c r="F80" i="7"/>
  <c r="G80" i="7"/>
  <c r="F81" i="7"/>
  <c r="G81" i="7"/>
  <c r="F52" i="7"/>
  <c r="G52" i="7"/>
  <c r="G78" i="7"/>
  <c r="F78" i="7"/>
  <c r="F45" i="7"/>
  <c r="G45" i="7"/>
  <c r="F46" i="7"/>
  <c r="G46" i="7"/>
  <c r="F47" i="7"/>
  <c r="G4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G7" i="7"/>
  <c r="F7" i="7"/>
</calcChain>
</file>

<file path=xl/sharedStrings.xml><?xml version="1.0" encoding="utf-8"?>
<sst xmlns="http://schemas.openxmlformats.org/spreadsheetml/2006/main" count="4324" uniqueCount="400">
  <si>
    <t>TIER_1</t>
  </si>
  <si>
    <t>T1_DESC</t>
  </si>
  <si>
    <t>TIER_2</t>
  </si>
  <si>
    <t>T2_DESC</t>
  </si>
  <si>
    <t>TIER_2b</t>
  </si>
  <si>
    <t>T2b_DESC</t>
  </si>
  <si>
    <t>TIER_3</t>
  </si>
  <si>
    <t>T3_DESC</t>
  </si>
  <si>
    <t>Cnet_SHORT_CODE</t>
  </si>
  <si>
    <t>CODE</t>
  </si>
  <si>
    <t>CORAL</t>
  </si>
  <si>
    <t>Coral</t>
  </si>
  <si>
    <t>ENC</t>
  </si>
  <si>
    <t>Encrusting hard coral</t>
  </si>
  <si>
    <t>ACAS</t>
  </si>
  <si>
    <t>Acanthastrea sp</t>
  </si>
  <si>
    <t>*ACAS</t>
  </si>
  <si>
    <t>BR</t>
  </si>
  <si>
    <t>Branching hard coral</t>
  </si>
  <si>
    <t>ACSP</t>
  </si>
  <si>
    <t>Acropora sp</t>
  </si>
  <si>
    <t>ACBR</t>
  </si>
  <si>
    <t>Acropora branching</t>
  </si>
  <si>
    <t>*ACBR</t>
  </si>
  <si>
    <t>TAB</t>
  </si>
  <si>
    <t>Tabulate hard coral</t>
  </si>
  <si>
    <t>ACTA</t>
  </si>
  <si>
    <t>Acropora tabulate</t>
  </si>
  <si>
    <t>*ACTA</t>
  </si>
  <si>
    <t>I</t>
  </si>
  <si>
    <t>Sessile Invertebrate</t>
  </si>
  <si>
    <t>AMNE</t>
  </si>
  <si>
    <t>Anemone</t>
  </si>
  <si>
    <t>*AMNE</t>
  </si>
  <si>
    <t>MA</t>
  </si>
  <si>
    <t>Macroalga</t>
  </si>
  <si>
    <t>UPMA</t>
  </si>
  <si>
    <t>Upright macroalga</t>
  </si>
  <si>
    <t>ASPP</t>
  </si>
  <si>
    <t>Asparagopsis sp</t>
  </si>
  <si>
    <t>*ASPP</t>
  </si>
  <si>
    <t>ASSP</t>
  </si>
  <si>
    <t>Astreopora sp</t>
  </si>
  <si>
    <t>*ASSP</t>
  </si>
  <si>
    <t>MASS</t>
  </si>
  <si>
    <t>Massive hard coral</t>
  </si>
  <si>
    <t>ASTS</t>
  </si>
  <si>
    <t>Astrea spp</t>
  </si>
  <si>
    <t>*ASTS</t>
  </si>
  <si>
    <t>GRMA</t>
  </si>
  <si>
    <t>Green macroalga</t>
  </si>
  <si>
    <t>AVSP</t>
  </si>
  <si>
    <t>Avrainvillea sp</t>
  </si>
  <si>
    <t>*AVSP</t>
  </si>
  <si>
    <t>BGMA</t>
  </si>
  <si>
    <t>Blue-green macroalga</t>
  </si>
  <si>
    <t>*BGMA</t>
  </si>
  <si>
    <t>BI</t>
  </si>
  <si>
    <t>Bivalve</t>
  </si>
  <si>
    <t>*BI</t>
  </si>
  <si>
    <t>*BR</t>
  </si>
  <si>
    <t>BRMA</t>
  </si>
  <si>
    <t>Brown macroalgae</t>
  </si>
  <si>
    <t>*BRMA</t>
  </si>
  <si>
    <t>BRY</t>
  </si>
  <si>
    <t>Bryozoan</t>
  </si>
  <si>
    <t>*BRY</t>
  </si>
  <si>
    <t>CAUL</t>
  </si>
  <si>
    <t>Caulerpa sp</t>
  </si>
  <si>
    <t>*CAUL</t>
  </si>
  <si>
    <t>CCA</t>
  </si>
  <si>
    <t>Coralline Alga</t>
  </si>
  <si>
    <t>CCAH</t>
  </si>
  <si>
    <t>CCA growing on hard substrate</t>
  </si>
  <si>
    <t>*CCAH</t>
  </si>
  <si>
    <t>CCAR</t>
  </si>
  <si>
    <t>CCA growing on rubble</t>
  </si>
  <si>
    <t>*CCAR</t>
  </si>
  <si>
    <t>CMOR</t>
  </si>
  <si>
    <t>Corallimorph</t>
  </si>
  <si>
    <t>*CMOR</t>
  </si>
  <si>
    <t>COL</t>
  </si>
  <si>
    <t>Columnar hard coral</t>
  </si>
  <si>
    <t>*COL</t>
  </si>
  <si>
    <t>COSP</t>
  </si>
  <si>
    <t>Coscinaraea sp</t>
  </si>
  <si>
    <t>*COSP</t>
  </si>
  <si>
    <t>TURF</t>
  </si>
  <si>
    <t>Turf Alga</t>
  </si>
  <si>
    <t>HARD</t>
  </si>
  <si>
    <t>Hard substrate</t>
  </si>
  <si>
    <t>COTS</t>
  </si>
  <si>
    <t>COTS predation</t>
  </si>
  <si>
    <t>*COTS_Pred</t>
  </si>
  <si>
    <t>CYPS</t>
  </si>
  <si>
    <t>Cyphastrea sp</t>
  </si>
  <si>
    <t>*CYPS</t>
  </si>
  <si>
    <t>DICO</t>
  </si>
  <si>
    <t>Dictyopteris/Dictyota</t>
  </si>
  <si>
    <t>*DICO</t>
  </si>
  <si>
    <t>DICT</t>
  </si>
  <si>
    <t>Dictyosphaeria sp</t>
  </si>
  <si>
    <t>*DICT</t>
  </si>
  <si>
    <t>DISP</t>
  </si>
  <si>
    <t>Diploastrea sp</t>
  </si>
  <si>
    <t>*DISP</t>
  </si>
  <si>
    <t>ECHL</t>
  </si>
  <si>
    <t>Echinophyllia sp</t>
  </si>
  <si>
    <t>*ECHL</t>
  </si>
  <si>
    <t>ECHP</t>
  </si>
  <si>
    <t>Echinopora sp</t>
  </si>
  <si>
    <t>*ECHP</t>
  </si>
  <si>
    <t>EMA</t>
  </si>
  <si>
    <t>Encrusting macroalga</t>
  </si>
  <si>
    <t>*EMA</t>
  </si>
  <si>
    <t>*ENC</t>
  </si>
  <si>
    <t>EUSP</t>
  </si>
  <si>
    <t>Euphyllia sp</t>
  </si>
  <si>
    <t>*EUSP</t>
  </si>
  <si>
    <t>FASP</t>
  </si>
  <si>
    <t>Favia sp</t>
  </si>
  <si>
    <t>*FASP</t>
  </si>
  <si>
    <t>FAVS</t>
  </si>
  <si>
    <t>Favites sp</t>
  </si>
  <si>
    <t>*FAVS</t>
  </si>
  <si>
    <t>SED</t>
  </si>
  <si>
    <t>Sediment</t>
  </si>
  <si>
    <t>FINE</t>
  </si>
  <si>
    <t>Fine sediment</t>
  </si>
  <si>
    <t>*FINE</t>
  </si>
  <si>
    <t>FOL</t>
  </si>
  <si>
    <t>Foliose hard coral</t>
  </si>
  <si>
    <t>*FOL</t>
  </si>
  <si>
    <t>FREE</t>
  </si>
  <si>
    <t>Free-living hard coral</t>
  </si>
  <si>
    <t>*FREE</t>
  </si>
  <si>
    <t>FUSP</t>
  </si>
  <si>
    <t>Fungia sp</t>
  </si>
  <si>
    <t>*FUSP</t>
  </si>
  <si>
    <t>GASP</t>
  </si>
  <si>
    <t>Galaxea sp</t>
  </si>
  <si>
    <t>*GASP</t>
  </si>
  <si>
    <t>GC</t>
  </si>
  <si>
    <t>Giant clam</t>
  </si>
  <si>
    <t>*GC</t>
  </si>
  <si>
    <t>GOAL</t>
  </si>
  <si>
    <t>Goniopora/Alveopora sp</t>
  </si>
  <si>
    <t>*GOAL</t>
  </si>
  <si>
    <t>GONS</t>
  </si>
  <si>
    <t>Goniastrea sp</t>
  </si>
  <si>
    <t>*GONS</t>
  </si>
  <si>
    <t>Green macroalgae</t>
  </si>
  <si>
    <t>*GRMA</t>
  </si>
  <si>
    <t>HALI</t>
  </si>
  <si>
    <t>Halimeda sp</t>
  </si>
  <si>
    <t>*HALI</t>
  </si>
  <si>
    <t>*HARD</t>
  </si>
  <si>
    <t>NS</t>
  </si>
  <si>
    <t>Non-scleractinian hard coral</t>
  </si>
  <si>
    <t>HCOE</t>
  </si>
  <si>
    <t>Heliopora sp</t>
  </si>
  <si>
    <t>*HCOE</t>
  </si>
  <si>
    <t>HYCO</t>
  </si>
  <si>
    <t>Hydrocoral</t>
  </si>
  <si>
    <t>*HYCO</t>
  </si>
  <si>
    <t>HYSP</t>
  </si>
  <si>
    <t>Hydnophora sp</t>
  </si>
  <si>
    <t>*HYSP</t>
  </si>
  <si>
    <t>ISSP</t>
  </si>
  <si>
    <t>Isopora sp</t>
  </si>
  <si>
    <t>*ISSP</t>
  </si>
  <si>
    <t>LEPT</t>
  </si>
  <si>
    <t>Leptastrea sp</t>
  </si>
  <si>
    <t>*LEPT</t>
  </si>
  <si>
    <t>LESP</t>
  </si>
  <si>
    <t>Leptoseris sp</t>
  </si>
  <si>
    <t>*LESP</t>
  </si>
  <si>
    <t>LOBO</t>
  </si>
  <si>
    <t>Lobophora sp</t>
  </si>
  <si>
    <t>*LOBO</t>
  </si>
  <si>
    <t>LOBS</t>
  </si>
  <si>
    <t>Lobophyllia sp</t>
  </si>
  <si>
    <t>*LOBS</t>
  </si>
  <si>
    <t>LPHY</t>
  </si>
  <si>
    <t>Leptoria sp</t>
  </si>
  <si>
    <t>*LPHY</t>
  </si>
  <si>
    <t>*MASS</t>
  </si>
  <si>
    <t>MESP</t>
  </si>
  <si>
    <t>Merulina sp</t>
  </si>
  <si>
    <t>*MESP</t>
  </si>
  <si>
    <t>MICR</t>
  </si>
  <si>
    <t>Microdictyon sp</t>
  </si>
  <si>
    <t>*MICR</t>
  </si>
  <si>
    <t>MISP</t>
  </si>
  <si>
    <t>Millepora sp</t>
  </si>
  <si>
    <t>*MISP</t>
  </si>
  <si>
    <t>MF</t>
  </si>
  <si>
    <t>Mobile Fauna</t>
  </si>
  <si>
    <t>MOBF</t>
  </si>
  <si>
    <t>Mobile fauna</t>
  </si>
  <si>
    <t>*MOBF</t>
  </si>
  <si>
    <t>MOSP</t>
  </si>
  <si>
    <t>Montipora sp</t>
  </si>
  <si>
    <t>MOBR</t>
  </si>
  <si>
    <t>Montipora branching</t>
  </si>
  <si>
    <t>*MOBR</t>
  </si>
  <si>
    <t>MOEN</t>
  </si>
  <si>
    <t>Montipora encrusting</t>
  </si>
  <si>
    <t>*MOEN</t>
  </si>
  <si>
    <t>MOFO</t>
  </si>
  <si>
    <t>Montipora foliose</t>
  </si>
  <si>
    <t>*MOFO</t>
  </si>
  <si>
    <t>MONS</t>
  </si>
  <si>
    <t>Montastraea sp</t>
  </si>
  <si>
    <t>*MONS</t>
  </si>
  <si>
    <t>NEOM</t>
  </si>
  <si>
    <t>Neomeris sp</t>
  </si>
  <si>
    <t>*NEOM</t>
  </si>
  <si>
    <t>SC</t>
  </si>
  <si>
    <t>Soft Coral</t>
  </si>
  <si>
    <t>OCTO</t>
  </si>
  <si>
    <t>Octocoral</t>
  </si>
  <si>
    <t>*OCTO</t>
  </si>
  <si>
    <t>OUSP</t>
  </si>
  <si>
    <t>Oulophyllia sp</t>
  </si>
  <si>
    <t>*OUSP</t>
  </si>
  <si>
    <t>PACS</t>
  </si>
  <si>
    <t>Pachyseris sp</t>
  </si>
  <si>
    <t>*PACS</t>
  </si>
  <si>
    <t>PADI</t>
  </si>
  <si>
    <t>Padina sp</t>
  </si>
  <si>
    <t>*PADI</t>
  </si>
  <si>
    <t>PAVS</t>
  </si>
  <si>
    <t>Pavona sp</t>
  </si>
  <si>
    <t>PAEN</t>
  </si>
  <si>
    <t>Pavona encrusting</t>
  </si>
  <si>
    <t>*PAEN</t>
  </si>
  <si>
    <t>PAFO</t>
  </si>
  <si>
    <t>Pavona foliose</t>
  </si>
  <si>
    <t>*PAFO</t>
  </si>
  <si>
    <t>PAMA</t>
  </si>
  <si>
    <t>Pavona massive</t>
  </si>
  <si>
    <t>*PAMA</t>
  </si>
  <si>
    <t>PESP</t>
  </si>
  <si>
    <t>Peyssonnelia sp</t>
  </si>
  <si>
    <t>*PESP</t>
  </si>
  <si>
    <t>PHSP</t>
  </si>
  <si>
    <t>Phymastrea sp</t>
  </si>
  <si>
    <t>*PHSP</t>
  </si>
  <si>
    <t>PLER</t>
  </si>
  <si>
    <t>Plerogyra sp</t>
  </si>
  <si>
    <t>*PLER</t>
  </si>
  <si>
    <t>PLSP</t>
  </si>
  <si>
    <t>Platygyra sp</t>
  </si>
  <si>
    <t>*PLSP</t>
  </si>
  <si>
    <t>POSP</t>
  </si>
  <si>
    <t>Porites sp</t>
  </si>
  <si>
    <t>POBR</t>
  </si>
  <si>
    <t>Porites branching</t>
  </si>
  <si>
    <t>*POBR</t>
  </si>
  <si>
    <t>POCS</t>
  </si>
  <si>
    <t>Pocillopora sp</t>
  </si>
  <si>
    <t>*POCS</t>
  </si>
  <si>
    <t>POEN</t>
  </si>
  <si>
    <t>Porites encrusting</t>
  </si>
  <si>
    <t>*POEN</t>
  </si>
  <si>
    <t>POFO</t>
  </si>
  <si>
    <t>Porites foliose</t>
  </si>
  <si>
    <t>*POFO</t>
  </si>
  <si>
    <t>POMA</t>
  </si>
  <si>
    <t>Porites massive</t>
  </si>
  <si>
    <t>*POMA</t>
  </si>
  <si>
    <t>PSSP</t>
  </si>
  <si>
    <t>Psammocora sp</t>
  </si>
  <si>
    <t>*PSSP</t>
  </si>
  <si>
    <t>RDMA</t>
  </si>
  <si>
    <t>Red macroalgae</t>
  </si>
  <si>
    <t>*RDMA</t>
  </si>
  <si>
    <t>RUB</t>
  </si>
  <si>
    <t>Rubble substrate</t>
  </si>
  <si>
    <t>*RUB</t>
  </si>
  <si>
    <t>SAND</t>
  </si>
  <si>
    <t>Sand</t>
  </si>
  <si>
    <t>*SAND</t>
  </si>
  <si>
    <t>SG</t>
  </si>
  <si>
    <t>Seagrass</t>
  </si>
  <si>
    <t>*SG</t>
  </si>
  <si>
    <t>UC</t>
  </si>
  <si>
    <t>Unclassified</t>
  </si>
  <si>
    <t>SHAD</t>
  </si>
  <si>
    <t>Shadow</t>
  </si>
  <si>
    <t>*SHAD</t>
  </si>
  <si>
    <t>SP</t>
  </si>
  <si>
    <t>Sponge</t>
  </si>
  <si>
    <t>*SP</t>
  </si>
  <si>
    <t>STYS</t>
  </si>
  <si>
    <t>Stylophora sp</t>
  </si>
  <si>
    <t>*STYS</t>
  </si>
  <si>
    <t>SYSP</t>
  </si>
  <si>
    <t>Symphyllia sp</t>
  </si>
  <si>
    <t>*SYSP</t>
  </si>
  <si>
    <t>TW</t>
  </si>
  <si>
    <t>Tape and wand</t>
  </si>
  <si>
    <t>TAPE</t>
  </si>
  <si>
    <t>Tape</t>
  </si>
  <si>
    <t>*TAPE</t>
  </si>
  <si>
    <t>TUN</t>
  </si>
  <si>
    <t>Tunicate</t>
  </si>
  <si>
    <t>*TUN</t>
  </si>
  <si>
    <t>TURFH</t>
  </si>
  <si>
    <t>Turf growing on hard substrate</t>
  </si>
  <si>
    <t>*TURFH</t>
  </si>
  <si>
    <t>TURFR</t>
  </si>
  <si>
    <t>Turf growing on rubble</t>
  </si>
  <si>
    <t>*TURFR</t>
  </si>
  <si>
    <t>TURS</t>
  </si>
  <si>
    <t>Turbinaria sp</t>
  </si>
  <si>
    <t>*TURS</t>
  </si>
  <si>
    <t>UI</t>
  </si>
  <si>
    <t>Unclassified sessile invertebrate</t>
  </si>
  <si>
    <t>*UI</t>
  </si>
  <si>
    <t>UNK</t>
  </si>
  <si>
    <t>Unclassified/Unknown</t>
  </si>
  <si>
    <t>*UNK</t>
  </si>
  <si>
    <t>*UPMA</t>
  </si>
  <si>
    <t>USC</t>
  </si>
  <si>
    <t>Unclassified soft coral</t>
  </si>
  <si>
    <t>*USC</t>
  </si>
  <si>
    <t>WAND</t>
  </si>
  <si>
    <t>Wand</t>
  </si>
  <si>
    <t>*WAND</t>
  </si>
  <si>
    <t>ZO</t>
  </si>
  <si>
    <t>Zoanthid</t>
  </si>
  <si>
    <t>*ZO</t>
  </si>
  <si>
    <t>ANTI</t>
  </si>
  <si>
    <t>Wire and black coral</t>
  </si>
  <si>
    <t>*ANTI</t>
  </si>
  <si>
    <t>LOSY</t>
  </si>
  <si>
    <t>Lobophyllia/Symphyllia sp</t>
  </si>
  <si>
    <t>NA</t>
  </si>
  <si>
    <t>Hard coral</t>
  </si>
  <si>
    <t>MONE</t>
  </si>
  <si>
    <t>non-encrusting Montipora sp</t>
  </si>
  <si>
    <t>PLLE</t>
  </si>
  <si>
    <t>Platygyra/Leptoria sp</t>
  </si>
  <si>
    <t>PONM</t>
  </si>
  <si>
    <t>non-massive Porites sp</t>
  </si>
  <si>
    <t>BOOD</t>
  </si>
  <si>
    <t>Boodlea sp</t>
  </si>
  <si>
    <t>CHLS</t>
  </si>
  <si>
    <t>Chlorodesmis sp</t>
  </si>
  <si>
    <t>ACPH</t>
  </si>
  <si>
    <t>Acanthophora sp</t>
  </si>
  <si>
    <t>AMSP</t>
  </si>
  <si>
    <t>Amansia sp</t>
  </si>
  <si>
    <t>GALS</t>
  </si>
  <si>
    <t>Galaxaura sp</t>
  </si>
  <si>
    <t>GALI</t>
  </si>
  <si>
    <t>Ganonema/Liagora</t>
  </si>
  <si>
    <t>Taxonomic Codes</t>
  </si>
  <si>
    <t>Structural Code</t>
  </si>
  <si>
    <t>Code Rank</t>
  </si>
  <si>
    <t>Hybrid Code</t>
  </si>
  <si>
    <t>Taxonomic Desc</t>
  </si>
  <si>
    <t>T1</t>
  </si>
  <si>
    <t>T2</t>
  </si>
  <si>
    <t>Structural Desc</t>
  </si>
  <si>
    <t>Hybrid Desc</t>
  </si>
  <si>
    <t>Substrate/Other</t>
  </si>
  <si>
    <t>T2b</t>
  </si>
  <si>
    <t>T3</t>
  </si>
  <si>
    <t>TF</t>
  </si>
  <si>
    <t>Coral Morphology Code</t>
  </si>
  <si>
    <t>Coral Morphological Desc</t>
  </si>
  <si>
    <t>CHILD_CODE</t>
  </si>
  <si>
    <t>PARENT_CODE</t>
  </si>
  <si>
    <t>PARENT_DESC</t>
  </si>
  <si>
    <t>PARENT RANK</t>
  </si>
  <si>
    <t>CHILD_DESC</t>
  </si>
  <si>
    <t>CHILD_RANK</t>
  </si>
  <si>
    <t>?</t>
  </si>
  <si>
    <t>BIOTA</t>
  </si>
  <si>
    <t>T0</t>
  </si>
  <si>
    <t>Biological Code</t>
  </si>
  <si>
    <t>SUBS</t>
  </si>
  <si>
    <t>Substrate</t>
  </si>
  <si>
    <t>OFFSURVEY</t>
  </si>
  <si>
    <t>NonTarget</t>
  </si>
  <si>
    <t>FLAG_LOOP</t>
  </si>
  <si>
    <t xml:space="preserve">Montipora sp non-encrusting </t>
  </si>
  <si>
    <t xml:space="preserve">Porites sp non-massive </t>
  </si>
  <si>
    <t>BIOTREE</t>
  </si>
  <si>
    <t>OFFTREE</t>
  </si>
  <si>
    <t>SUBSTREE</t>
  </si>
  <si>
    <t>BIOLOOP_TAX</t>
  </si>
  <si>
    <t>BIOLOOP_STR</t>
  </si>
  <si>
    <t>ROOT</t>
  </si>
  <si>
    <t>OBJ</t>
  </si>
  <si>
    <t>Object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</si>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</sst>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tabSelected="1" topLeftCell="A7" workbookViewId="0">
      <selection activeCell="F15" sqref="F15"/>
    </sheetView>
  </sheetViews>
  <sheetFormatPr defaultRowHeight="14.5" x14ac:dyDescent="0.35"/>
  <cols>
    <col min="1" max="1" width="13.1796875" bestFit="1" customWidth="1"/>
    <col min="2" max="2" width="18.7265625" bestFit="1" customWidth="1"/>
    <col min="3" max="3" width="12.36328125" bestFit="1" customWidth="1"/>
    <col min="4" max="4" width="11.54296875" bestFit="1" customWidth="1"/>
    <col min="5" max="5" width="27.6328125" bestFit="1" customWidth="1"/>
    <col min="6" max="6" width="11.36328125" bestFit="1" customWidth="1"/>
  </cols>
  <sheetData>
    <row r="1" spans="1:7" x14ac:dyDescent="0.35">
      <c r="A1" t="s">
        <v>375</v>
      </c>
      <c r="B1" t="s">
        <v>376</v>
      </c>
      <c r="C1" t="s">
        <v>377</v>
      </c>
      <c r="D1" t="s">
        <v>374</v>
      </c>
      <c r="E1" t="s">
        <v>378</v>
      </c>
      <c r="F1" t="s">
        <v>379</v>
      </c>
      <c r="G1" t="s">
        <v>388</v>
      </c>
    </row>
    <row r="2" spans="1:7" x14ac:dyDescent="0.35">
      <c r="A2" t="s">
        <v>397</v>
      </c>
      <c r="B2" t="s">
        <v>398</v>
      </c>
      <c r="C2" t="s">
        <v>399</v>
      </c>
      <c r="D2" t="s">
        <v>381</v>
      </c>
      <c r="E2" t="s">
        <v>383</v>
      </c>
      <c r="F2" t="s">
        <v>382</v>
      </c>
      <c r="G2" t="s">
        <v>396</v>
      </c>
    </row>
    <row r="3" spans="1:7" x14ac:dyDescent="0.35">
      <c r="A3" t="s">
        <v>397</v>
      </c>
      <c r="B3" t="s">
        <v>398</v>
      </c>
      <c r="C3" t="s">
        <v>399</v>
      </c>
      <c r="D3" t="s">
        <v>386</v>
      </c>
      <c r="E3" t="s">
        <v>387</v>
      </c>
      <c r="F3" t="s">
        <v>382</v>
      </c>
      <c r="G3" t="s">
        <v>396</v>
      </c>
    </row>
    <row r="4" spans="1:7" x14ac:dyDescent="0.35">
      <c r="A4" t="s">
        <v>397</v>
      </c>
      <c r="B4" t="s">
        <v>398</v>
      </c>
      <c r="C4" t="s">
        <v>399</v>
      </c>
      <c r="D4" t="s">
        <v>384</v>
      </c>
      <c r="E4" t="s">
        <v>385</v>
      </c>
      <c r="F4" t="s">
        <v>382</v>
      </c>
      <c r="G4" t="s">
        <v>396</v>
      </c>
    </row>
    <row r="5" spans="1:7" x14ac:dyDescent="0.35">
      <c r="A5" t="s">
        <v>381</v>
      </c>
      <c r="B5" t="s">
        <v>383</v>
      </c>
      <c r="C5" t="s">
        <v>382</v>
      </c>
      <c r="D5" t="s">
        <v>70</v>
      </c>
      <c r="E5" t="s">
        <v>71</v>
      </c>
      <c r="F5" t="s">
        <v>364</v>
      </c>
      <c r="G5" t="s">
        <v>391</v>
      </c>
    </row>
    <row r="6" spans="1:7" x14ac:dyDescent="0.35">
      <c r="A6" t="s">
        <v>381</v>
      </c>
      <c r="B6" t="s">
        <v>383</v>
      </c>
      <c r="C6" t="s">
        <v>382</v>
      </c>
      <c r="D6" t="s">
        <v>10</v>
      </c>
      <c r="E6" t="s">
        <v>11</v>
      </c>
      <c r="F6" t="s">
        <v>364</v>
      </c>
      <c r="G6" t="s">
        <v>391</v>
      </c>
    </row>
    <row r="7" spans="1:7" x14ac:dyDescent="0.35">
      <c r="A7" t="s">
        <v>381</v>
      </c>
      <c r="B7" t="s">
        <v>383</v>
      </c>
      <c r="C7" t="s">
        <v>382</v>
      </c>
      <c r="D7" t="s">
        <v>29</v>
      </c>
      <c r="E7" t="s">
        <v>30</v>
      </c>
      <c r="F7" t="s">
        <v>364</v>
      </c>
      <c r="G7" t="s">
        <v>391</v>
      </c>
    </row>
    <row r="8" spans="1:7" x14ac:dyDescent="0.35">
      <c r="A8" t="s">
        <v>381</v>
      </c>
      <c r="B8" t="s">
        <v>383</v>
      </c>
      <c r="C8" t="s">
        <v>382</v>
      </c>
      <c r="D8" t="s">
        <v>34</v>
      </c>
      <c r="E8" t="s">
        <v>35</v>
      </c>
      <c r="F8" t="s">
        <v>364</v>
      </c>
      <c r="G8" t="s">
        <v>391</v>
      </c>
    </row>
    <row r="9" spans="1:7" x14ac:dyDescent="0.35">
      <c r="A9" t="s">
        <v>381</v>
      </c>
      <c r="B9" t="s">
        <v>383</v>
      </c>
      <c r="C9" t="s">
        <v>382</v>
      </c>
      <c r="D9" t="s">
        <v>196</v>
      </c>
      <c r="E9" t="s">
        <v>197</v>
      </c>
      <c r="F9" t="s">
        <v>364</v>
      </c>
      <c r="G9" t="s">
        <v>391</v>
      </c>
    </row>
    <row r="10" spans="1:7" x14ac:dyDescent="0.35">
      <c r="A10" t="s">
        <v>381</v>
      </c>
      <c r="B10" t="s">
        <v>383</v>
      </c>
      <c r="C10" t="s">
        <v>382</v>
      </c>
      <c r="D10" t="s">
        <v>87</v>
      </c>
      <c r="E10" t="s">
        <v>88</v>
      </c>
      <c r="F10" t="s">
        <v>364</v>
      </c>
      <c r="G10" t="s">
        <v>391</v>
      </c>
    </row>
    <row r="11" spans="1:7" x14ac:dyDescent="0.35">
      <c r="A11" t="s">
        <v>386</v>
      </c>
      <c r="B11" t="s">
        <v>387</v>
      </c>
      <c r="C11" t="s">
        <v>382</v>
      </c>
      <c r="D11" t="s">
        <v>301</v>
      </c>
      <c r="E11" t="s">
        <v>302</v>
      </c>
      <c r="F11" t="s">
        <v>364</v>
      </c>
      <c r="G11" t="s">
        <v>392</v>
      </c>
    </row>
    <row r="12" spans="1:7" x14ac:dyDescent="0.35">
      <c r="A12" t="s">
        <v>386</v>
      </c>
      <c r="B12" t="s">
        <v>387</v>
      </c>
      <c r="C12" t="s">
        <v>382</v>
      </c>
      <c r="D12" t="s">
        <v>287</v>
      </c>
      <c r="E12" t="s">
        <v>288</v>
      </c>
      <c r="F12" t="s">
        <v>364</v>
      </c>
      <c r="G12" t="s">
        <v>392</v>
      </c>
    </row>
    <row r="13" spans="1:7" x14ac:dyDescent="0.35">
      <c r="A13" t="s">
        <v>384</v>
      </c>
      <c r="B13" t="s">
        <v>385</v>
      </c>
      <c r="C13" t="s">
        <v>382</v>
      </c>
      <c r="D13" t="s">
        <v>125</v>
      </c>
      <c r="E13" t="s">
        <v>126</v>
      </c>
      <c r="F13" t="s">
        <v>364</v>
      </c>
      <c r="G13" t="s">
        <v>393</v>
      </c>
    </row>
    <row r="14" spans="1:7" x14ac:dyDescent="0.35">
      <c r="A14" t="s">
        <v>70</v>
      </c>
      <c r="B14" t="s">
        <v>71</v>
      </c>
      <c r="C14" t="s">
        <v>364</v>
      </c>
      <c r="D14" t="s">
        <v>72</v>
      </c>
      <c r="E14" t="s">
        <v>73</v>
      </c>
      <c r="F14" t="s">
        <v>365</v>
      </c>
      <c r="G14" t="s">
        <v>391</v>
      </c>
    </row>
    <row r="15" spans="1:7" x14ac:dyDescent="0.35">
      <c r="A15" t="s">
        <v>70</v>
      </c>
      <c r="B15" t="s">
        <v>71</v>
      </c>
      <c r="C15" t="s">
        <v>364</v>
      </c>
      <c r="D15" t="s">
        <v>75</v>
      </c>
      <c r="E15" t="s">
        <v>76</v>
      </c>
      <c r="F15" t="s">
        <v>365</v>
      </c>
      <c r="G15" t="s">
        <v>391</v>
      </c>
    </row>
    <row r="16" spans="1:7" x14ac:dyDescent="0.35">
      <c r="A16" t="s">
        <v>10</v>
      </c>
      <c r="B16" t="s">
        <v>11</v>
      </c>
      <c r="C16" t="s">
        <v>364</v>
      </c>
      <c r="D16" t="s">
        <v>157</v>
      </c>
      <c r="E16" t="s">
        <v>158</v>
      </c>
      <c r="F16" t="s">
        <v>365</v>
      </c>
      <c r="G16" t="s">
        <v>391</v>
      </c>
    </row>
    <row r="17" spans="1:7" x14ac:dyDescent="0.35">
      <c r="A17" t="s">
        <v>10</v>
      </c>
      <c r="B17" t="s">
        <v>11</v>
      </c>
      <c r="C17" t="s">
        <v>364</v>
      </c>
      <c r="D17" t="s">
        <v>14</v>
      </c>
      <c r="E17" t="s">
        <v>15</v>
      </c>
      <c r="F17" t="s">
        <v>369</v>
      </c>
      <c r="G17" t="s">
        <v>391</v>
      </c>
    </row>
    <row r="18" spans="1:7" x14ac:dyDescent="0.35">
      <c r="A18" t="s">
        <v>10</v>
      </c>
      <c r="B18" t="s">
        <v>11</v>
      </c>
      <c r="C18" t="s">
        <v>364</v>
      </c>
      <c r="D18" t="s">
        <v>19</v>
      </c>
      <c r="E18" t="s">
        <v>20</v>
      </c>
      <c r="F18" t="s">
        <v>369</v>
      </c>
      <c r="G18" t="s">
        <v>391</v>
      </c>
    </row>
    <row r="19" spans="1:7" x14ac:dyDescent="0.35">
      <c r="A19" t="s">
        <v>10</v>
      </c>
      <c r="B19" t="s">
        <v>11</v>
      </c>
      <c r="C19" t="s">
        <v>364</v>
      </c>
      <c r="D19" t="s">
        <v>41</v>
      </c>
      <c r="E19" t="s">
        <v>42</v>
      </c>
      <c r="F19" t="s">
        <v>369</v>
      </c>
      <c r="G19" t="s">
        <v>391</v>
      </c>
    </row>
    <row r="20" spans="1:7" x14ac:dyDescent="0.35">
      <c r="A20" t="s">
        <v>10</v>
      </c>
      <c r="B20" t="s">
        <v>11</v>
      </c>
      <c r="C20" t="s">
        <v>364</v>
      </c>
      <c r="D20" t="s">
        <v>46</v>
      </c>
      <c r="E20" t="s">
        <v>47</v>
      </c>
      <c r="F20" t="s">
        <v>369</v>
      </c>
      <c r="G20" t="s">
        <v>391</v>
      </c>
    </row>
    <row r="21" spans="1:7" x14ac:dyDescent="0.35">
      <c r="A21" t="s">
        <v>10</v>
      </c>
      <c r="B21" t="s">
        <v>11</v>
      </c>
      <c r="C21" t="s">
        <v>364</v>
      </c>
      <c r="D21" t="s">
        <v>84</v>
      </c>
      <c r="E21" t="s">
        <v>85</v>
      </c>
      <c r="F21" t="s">
        <v>369</v>
      </c>
      <c r="G21" t="s">
        <v>391</v>
      </c>
    </row>
    <row r="22" spans="1:7" x14ac:dyDescent="0.35">
      <c r="A22" t="s">
        <v>10</v>
      </c>
      <c r="B22" t="s">
        <v>11</v>
      </c>
      <c r="C22" t="s">
        <v>364</v>
      </c>
      <c r="D22" t="s">
        <v>94</v>
      </c>
      <c r="E22" t="s">
        <v>95</v>
      </c>
      <c r="F22" t="s">
        <v>369</v>
      </c>
      <c r="G22" t="s">
        <v>391</v>
      </c>
    </row>
    <row r="23" spans="1:7" x14ac:dyDescent="0.35">
      <c r="A23" t="s">
        <v>10</v>
      </c>
      <c r="B23" t="s">
        <v>11</v>
      </c>
      <c r="C23" t="s">
        <v>364</v>
      </c>
      <c r="D23" t="s">
        <v>103</v>
      </c>
      <c r="E23" t="s">
        <v>104</v>
      </c>
      <c r="F23" t="s">
        <v>369</v>
      </c>
      <c r="G23" t="s">
        <v>391</v>
      </c>
    </row>
    <row r="24" spans="1:7" x14ac:dyDescent="0.35">
      <c r="A24" t="s">
        <v>10</v>
      </c>
      <c r="B24" t="s">
        <v>11</v>
      </c>
      <c r="C24" t="s">
        <v>364</v>
      </c>
      <c r="D24" t="s">
        <v>106</v>
      </c>
      <c r="E24" t="s">
        <v>107</v>
      </c>
      <c r="F24" t="s">
        <v>369</v>
      </c>
      <c r="G24" t="s">
        <v>391</v>
      </c>
    </row>
    <row r="25" spans="1:7" x14ac:dyDescent="0.35">
      <c r="A25" t="s">
        <v>10</v>
      </c>
      <c r="B25" t="s">
        <v>11</v>
      </c>
      <c r="C25" t="s">
        <v>364</v>
      </c>
      <c r="D25" t="s">
        <v>109</v>
      </c>
      <c r="E25" t="s">
        <v>110</v>
      </c>
      <c r="F25" t="s">
        <v>369</v>
      </c>
      <c r="G25" t="s">
        <v>391</v>
      </c>
    </row>
    <row r="26" spans="1:7" x14ac:dyDescent="0.35">
      <c r="A26" t="s">
        <v>10</v>
      </c>
      <c r="B26" t="s">
        <v>11</v>
      </c>
      <c r="C26" t="s">
        <v>364</v>
      </c>
      <c r="D26" t="s">
        <v>116</v>
      </c>
      <c r="E26" t="s">
        <v>117</v>
      </c>
      <c r="F26" t="s">
        <v>369</v>
      </c>
      <c r="G26" t="s">
        <v>391</v>
      </c>
    </row>
    <row r="27" spans="1:7" x14ac:dyDescent="0.35">
      <c r="A27" t="s">
        <v>10</v>
      </c>
      <c r="B27" t="s">
        <v>11</v>
      </c>
      <c r="C27" t="s">
        <v>364</v>
      </c>
      <c r="D27" t="s">
        <v>119</v>
      </c>
      <c r="E27" t="s">
        <v>120</v>
      </c>
      <c r="F27" t="s">
        <v>369</v>
      </c>
      <c r="G27" t="s">
        <v>391</v>
      </c>
    </row>
    <row r="28" spans="1:7" x14ac:dyDescent="0.35">
      <c r="A28" t="s">
        <v>10</v>
      </c>
      <c r="B28" t="s">
        <v>11</v>
      </c>
      <c r="C28" t="s">
        <v>364</v>
      </c>
      <c r="D28" t="s">
        <v>122</v>
      </c>
      <c r="E28" t="s">
        <v>123</v>
      </c>
      <c r="F28" t="s">
        <v>369</v>
      </c>
      <c r="G28" t="s">
        <v>391</v>
      </c>
    </row>
    <row r="29" spans="1:7" x14ac:dyDescent="0.35">
      <c r="A29" t="s">
        <v>10</v>
      </c>
      <c r="B29" t="s">
        <v>11</v>
      </c>
      <c r="C29" t="s">
        <v>364</v>
      </c>
      <c r="D29" t="s">
        <v>136</v>
      </c>
      <c r="E29" t="s">
        <v>137</v>
      </c>
      <c r="F29" t="s">
        <v>369</v>
      </c>
      <c r="G29" t="s">
        <v>391</v>
      </c>
    </row>
    <row r="30" spans="1:7" x14ac:dyDescent="0.35">
      <c r="A30" t="s">
        <v>10</v>
      </c>
      <c r="B30" t="s">
        <v>11</v>
      </c>
      <c r="C30" t="s">
        <v>364</v>
      </c>
      <c r="D30" t="s">
        <v>139</v>
      </c>
      <c r="E30" t="s">
        <v>140</v>
      </c>
      <c r="F30" t="s">
        <v>369</v>
      </c>
      <c r="G30" t="s">
        <v>391</v>
      </c>
    </row>
    <row r="31" spans="1:7" x14ac:dyDescent="0.35">
      <c r="A31" t="s">
        <v>10</v>
      </c>
      <c r="B31" t="s">
        <v>11</v>
      </c>
      <c r="C31" t="s">
        <v>364</v>
      </c>
      <c r="D31" t="s">
        <v>145</v>
      </c>
      <c r="E31" t="s">
        <v>146</v>
      </c>
      <c r="F31" t="s">
        <v>369</v>
      </c>
      <c r="G31" t="s">
        <v>391</v>
      </c>
    </row>
    <row r="32" spans="1:7" x14ac:dyDescent="0.35">
      <c r="A32" t="s">
        <v>10</v>
      </c>
      <c r="B32" t="s">
        <v>11</v>
      </c>
      <c r="C32" t="s">
        <v>364</v>
      </c>
      <c r="D32" t="s">
        <v>148</v>
      </c>
      <c r="E32" t="s">
        <v>149</v>
      </c>
      <c r="F32" t="s">
        <v>369</v>
      </c>
      <c r="G32" t="s">
        <v>391</v>
      </c>
    </row>
    <row r="33" spans="1:7" x14ac:dyDescent="0.35">
      <c r="A33" t="s">
        <v>10</v>
      </c>
      <c r="B33" t="s">
        <v>11</v>
      </c>
      <c r="C33" t="s">
        <v>364</v>
      </c>
      <c r="D33" t="s">
        <v>165</v>
      </c>
      <c r="E33" t="s">
        <v>166</v>
      </c>
      <c r="F33" t="s">
        <v>369</v>
      </c>
      <c r="G33" t="s">
        <v>391</v>
      </c>
    </row>
    <row r="34" spans="1:7" x14ac:dyDescent="0.35">
      <c r="A34" t="s">
        <v>10</v>
      </c>
      <c r="B34" t="s">
        <v>11</v>
      </c>
      <c r="C34" t="s">
        <v>364</v>
      </c>
      <c r="D34" t="s">
        <v>168</v>
      </c>
      <c r="E34" t="s">
        <v>169</v>
      </c>
      <c r="F34" t="s">
        <v>369</v>
      </c>
      <c r="G34" t="s">
        <v>391</v>
      </c>
    </row>
    <row r="35" spans="1:7" x14ac:dyDescent="0.35">
      <c r="A35" t="s">
        <v>10</v>
      </c>
      <c r="B35" t="s">
        <v>11</v>
      </c>
      <c r="C35" t="s">
        <v>364</v>
      </c>
      <c r="D35" t="s">
        <v>171</v>
      </c>
      <c r="E35" t="s">
        <v>172</v>
      </c>
      <c r="F35" t="s">
        <v>369</v>
      </c>
      <c r="G35" t="s">
        <v>391</v>
      </c>
    </row>
    <row r="36" spans="1:7" x14ac:dyDescent="0.35">
      <c r="A36" t="s">
        <v>10</v>
      </c>
      <c r="B36" t="s">
        <v>11</v>
      </c>
      <c r="C36" t="s">
        <v>364</v>
      </c>
      <c r="D36" t="s">
        <v>174</v>
      </c>
      <c r="E36" t="s">
        <v>175</v>
      </c>
      <c r="F36" t="s">
        <v>369</v>
      </c>
      <c r="G36" t="s">
        <v>391</v>
      </c>
    </row>
    <row r="37" spans="1:7" x14ac:dyDescent="0.35">
      <c r="A37" t="s">
        <v>10</v>
      </c>
      <c r="B37" t="s">
        <v>11</v>
      </c>
      <c r="C37" t="s">
        <v>364</v>
      </c>
      <c r="D37" t="s">
        <v>180</v>
      </c>
      <c r="E37" t="s">
        <v>181</v>
      </c>
      <c r="F37" t="s">
        <v>369</v>
      </c>
      <c r="G37" t="s">
        <v>391</v>
      </c>
    </row>
    <row r="38" spans="1:7" x14ac:dyDescent="0.35">
      <c r="A38" t="s">
        <v>10</v>
      </c>
      <c r="B38" t="s">
        <v>11</v>
      </c>
      <c r="C38" t="s">
        <v>364</v>
      </c>
      <c r="D38" t="s">
        <v>337</v>
      </c>
      <c r="E38" t="s">
        <v>338</v>
      </c>
      <c r="F38" t="s">
        <v>369</v>
      </c>
      <c r="G38" t="s">
        <v>391</v>
      </c>
    </row>
    <row r="39" spans="1:7" x14ac:dyDescent="0.35">
      <c r="A39" t="s">
        <v>10</v>
      </c>
      <c r="B39" t="s">
        <v>11</v>
      </c>
      <c r="C39" t="s">
        <v>364</v>
      </c>
      <c r="D39" t="s">
        <v>183</v>
      </c>
      <c r="E39" t="s">
        <v>184</v>
      </c>
      <c r="F39" t="s">
        <v>369</v>
      </c>
      <c r="G39" t="s">
        <v>391</v>
      </c>
    </row>
    <row r="40" spans="1:7" x14ac:dyDescent="0.35">
      <c r="A40" t="s">
        <v>10</v>
      </c>
      <c r="B40" t="s">
        <v>11</v>
      </c>
      <c r="C40" t="s">
        <v>364</v>
      </c>
      <c r="D40" t="s">
        <v>187</v>
      </c>
      <c r="E40" t="s">
        <v>188</v>
      </c>
      <c r="F40" t="s">
        <v>369</v>
      </c>
      <c r="G40" t="s">
        <v>391</v>
      </c>
    </row>
    <row r="41" spans="1:7" x14ac:dyDescent="0.35">
      <c r="A41" t="s">
        <v>10</v>
      </c>
      <c r="B41" t="s">
        <v>11</v>
      </c>
      <c r="C41" t="s">
        <v>364</v>
      </c>
      <c r="D41" t="s">
        <v>193</v>
      </c>
      <c r="E41" t="s">
        <v>194</v>
      </c>
      <c r="F41" t="s">
        <v>369</v>
      </c>
      <c r="G41" t="s">
        <v>391</v>
      </c>
    </row>
    <row r="42" spans="1:7" x14ac:dyDescent="0.35">
      <c r="A42" t="s">
        <v>10</v>
      </c>
      <c r="B42" t="s">
        <v>11</v>
      </c>
      <c r="C42" t="s">
        <v>364</v>
      </c>
      <c r="D42" t="s">
        <v>212</v>
      </c>
      <c r="E42" t="s">
        <v>213</v>
      </c>
      <c r="F42" t="s">
        <v>369</v>
      </c>
      <c r="G42" t="s">
        <v>391</v>
      </c>
    </row>
    <row r="43" spans="1:7" x14ac:dyDescent="0.35">
      <c r="A43" t="s">
        <v>10</v>
      </c>
      <c r="B43" t="s">
        <v>11</v>
      </c>
      <c r="C43" t="s">
        <v>364</v>
      </c>
      <c r="D43" t="s">
        <v>201</v>
      </c>
      <c r="E43" t="s">
        <v>202</v>
      </c>
      <c r="F43" t="s">
        <v>369</v>
      </c>
      <c r="G43" t="s">
        <v>391</v>
      </c>
    </row>
    <row r="44" spans="1:7" x14ac:dyDescent="0.35">
      <c r="A44" t="s">
        <v>10</v>
      </c>
      <c r="B44" t="s">
        <v>11</v>
      </c>
      <c r="C44" t="s">
        <v>364</v>
      </c>
      <c r="D44" t="s">
        <v>223</v>
      </c>
      <c r="E44" t="s">
        <v>224</v>
      </c>
      <c r="F44" t="s">
        <v>369</v>
      </c>
      <c r="G44" t="s">
        <v>391</v>
      </c>
    </row>
    <row r="45" spans="1:7" x14ac:dyDescent="0.35">
      <c r="A45" t="s">
        <v>10</v>
      </c>
      <c r="B45" t="s">
        <v>11</v>
      </c>
      <c r="C45" t="s">
        <v>364</v>
      </c>
      <c r="D45" t="s">
        <v>226</v>
      </c>
      <c r="E45" t="s">
        <v>227</v>
      </c>
      <c r="F45" t="s">
        <v>369</v>
      </c>
      <c r="G45" t="s">
        <v>391</v>
      </c>
    </row>
    <row r="46" spans="1:7" x14ac:dyDescent="0.35">
      <c r="A46" t="s">
        <v>10</v>
      </c>
      <c r="B46" t="s">
        <v>11</v>
      </c>
      <c r="C46" t="s">
        <v>364</v>
      </c>
      <c r="D46" t="s">
        <v>232</v>
      </c>
      <c r="E46" t="s">
        <v>233</v>
      </c>
      <c r="F46" t="s">
        <v>369</v>
      </c>
      <c r="G46" t="s">
        <v>391</v>
      </c>
    </row>
    <row r="47" spans="1:7" x14ac:dyDescent="0.35">
      <c r="A47" t="s">
        <v>10</v>
      </c>
      <c r="B47" t="s">
        <v>11</v>
      </c>
      <c r="C47" t="s">
        <v>364</v>
      </c>
      <c r="D47" t="s">
        <v>246</v>
      </c>
      <c r="E47" t="s">
        <v>247</v>
      </c>
      <c r="F47" t="s">
        <v>369</v>
      </c>
      <c r="G47" t="s">
        <v>391</v>
      </c>
    </row>
    <row r="48" spans="1:7" x14ac:dyDescent="0.35">
      <c r="A48" t="s">
        <v>10</v>
      </c>
      <c r="B48" t="s">
        <v>11</v>
      </c>
      <c r="C48" t="s">
        <v>364</v>
      </c>
      <c r="D48" t="s">
        <v>249</v>
      </c>
      <c r="E48" t="s">
        <v>250</v>
      </c>
      <c r="F48" t="s">
        <v>369</v>
      </c>
      <c r="G48" t="s">
        <v>391</v>
      </c>
    </row>
    <row r="49" spans="1:7" x14ac:dyDescent="0.35">
      <c r="A49" t="s">
        <v>10</v>
      </c>
      <c r="B49" t="s">
        <v>11</v>
      </c>
      <c r="C49" t="s">
        <v>364</v>
      </c>
      <c r="D49" t="s">
        <v>343</v>
      </c>
      <c r="E49" t="s">
        <v>344</v>
      </c>
      <c r="F49" t="s">
        <v>369</v>
      </c>
      <c r="G49" t="s">
        <v>391</v>
      </c>
    </row>
    <row r="50" spans="1:7" x14ac:dyDescent="0.35">
      <c r="A50" t="s">
        <v>10</v>
      </c>
      <c r="B50" t="s">
        <v>11</v>
      </c>
      <c r="C50" t="s">
        <v>364</v>
      </c>
      <c r="D50" t="s">
        <v>252</v>
      </c>
      <c r="E50" t="s">
        <v>253</v>
      </c>
      <c r="F50" t="s">
        <v>369</v>
      </c>
      <c r="G50" t="s">
        <v>391</v>
      </c>
    </row>
    <row r="51" spans="1:7" x14ac:dyDescent="0.35">
      <c r="A51" t="s">
        <v>10</v>
      </c>
      <c r="B51" t="s">
        <v>11</v>
      </c>
      <c r="C51" t="s">
        <v>364</v>
      </c>
      <c r="D51" t="s">
        <v>260</v>
      </c>
      <c r="E51" t="s">
        <v>261</v>
      </c>
      <c r="F51" t="s">
        <v>369</v>
      </c>
      <c r="G51" t="s">
        <v>391</v>
      </c>
    </row>
    <row r="52" spans="1:7" x14ac:dyDescent="0.35">
      <c r="A52" t="s">
        <v>10</v>
      </c>
      <c r="B52" t="s">
        <v>11</v>
      </c>
      <c r="C52" t="s">
        <v>364</v>
      </c>
      <c r="D52" t="s">
        <v>255</v>
      </c>
      <c r="E52" t="s">
        <v>256</v>
      </c>
      <c r="F52" t="s">
        <v>369</v>
      </c>
      <c r="G52" t="s">
        <v>391</v>
      </c>
    </row>
    <row r="53" spans="1:7" x14ac:dyDescent="0.35">
      <c r="A53" t="s">
        <v>10</v>
      </c>
      <c r="B53" t="s">
        <v>11</v>
      </c>
      <c r="C53" t="s">
        <v>364</v>
      </c>
      <c r="D53" t="s">
        <v>272</v>
      </c>
      <c r="E53" t="s">
        <v>273</v>
      </c>
      <c r="F53" t="s">
        <v>369</v>
      </c>
      <c r="G53" t="s">
        <v>391</v>
      </c>
    </row>
    <row r="54" spans="1:7" x14ac:dyDescent="0.35">
      <c r="A54" t="s">
        <v>10</v>
      </c>
      <c r="B54" t="s">
        <v>11</v>
      </c>
      <c r="C54" t="s">
        <v>364</v>
      </c>
      <c r="D54" t="s">
        <v>295</v>
      </c>
      <c r="E54" t="s">
        <v>296</v>
      </c>
      <c r="F54" t="s">
        <v>369</v>
      </c>
      <c r="G54" t="s">
        <v>391</v>
      </c>
    </row>
    <row r="55" spans="1:7" x14ac:dyDescent="0.35">
      <c r="A55" t="s">
        <v>10</v>
      </c>
      <c r="B55" t="s">
        <v>11</v>
      </c>
      <c r="C55" t="s">
        <v>364</v>
      </c>
      <c r="D55" t="s">
        <v>298</v>
      </c>
      <c r="E55" t="s">
        <v>299</v>
      </c>
      <c r="F55" t="s">
        <v>369</v>
      </c>
      <c r="G55" t="s">
        <v>391</v>
      </c>
    </row>
    <row r="56" spans="1:7" x14ac:dyDescent="0.35">
      <c r="A56" t="s">
        <v>10</v>
      </c>
      <c r="B56" t="s">
        <v>11</v>
      </c>
      <c r="C56" t="s">
        <v>364</v>
      </c>
      <c r="D56" t="s">
        <v>315</v>
      </c>
      <c r="E56" t="s">
        <v>316</v>
      </c>
      <c r="F56" t="s">
        <v>369</v>
      </c>
      <c r="G56" t="s">
        <v>391</v>
      </c>
    </row>
    <row r="57" spans="1:7" x14ac:dyDescent="0.35">
      <c r="A57" t="s">
        <v>29</v>
      </c>
      <c r="B57" t="s">
        <v>30</v>
      </c>
      <c r="C57" t="s">
        <v>364</v>
      </c>
      <c r="D57" t="s">
        <v>31</v>
      </c>
      <c r="E57" t="s">
        <v>32</v>
      </c>
      <c r="F57" t="s">
        <v>365</v>
      </c>
      <c r="G57" t="s">
        <v>391</v>
      </c>
    </row>
    <row r="58" spans="1:7" x14ac:dyDescent="0.35">
      <c r="A58" t="s">
        <v>29</v>
      </c>
      <c r="B58" t="s">
        <v>30</v>
      </c>
      <c r="C58" t="s">
        <v>364</v>
      </c>
      <c r="D58" t="s">
        <v>334</v>
      </c>
      <c r="E58" t="s">
        <v>335</v>
      </c>
      <c r="F58" t="s">
        <v>365</v>
      </c>
      <c r="G58" t="s">
        <v>391</v>
      </c>
    </row>
    <row r="59" spans="1:7" x14ac:dyDescent="0.35">
      <c r="A59" t="s">
        <v>29</v>
      </c>
      <c r="B59" t="s">
        <v>30</v>
      </c>
      <c r="C59" t="s">
        <v>364</v>
      </c>
      <c r="D59" t="s">
        <v>57</v>
      </c>
      <c r="E59" t="s">
        <v>58</v>
      </c>
      <c r="F59" t="s">
        <v>365</v>
      </c>
      <c r="G59" t="s">
        <v>391</v>
      </c>
    </row>
    <row r="60" spans="1:7" x14ac:dyDescent="0.35">
      <c r="A60" t="s">
        <v>29</v>
      </c>
      <c r="B60" t="s">
        <v>30</v>
      </c>
      <c r="C60" t="s">
        <v>364</v>
      </c>
      <c r="D60" t="s">
        <v>64</v>
      </c>
      <c r="E60" t="s">
        <v>65</v>
      </c>
      <c r="F60" t="s">
        <v>365</v>
      </c>
      <c r="G60" t="s">
        <v>391</v>
      </c>
    </row>
    <row r="61" spans="1:7" x14ac:dyDescent="0.35">
      <c r="A61" t="s">
        <v>29</v>
      </c>
      <c r="B61" t="s">
        <v>30</v>
      </c>
      <c r="C61" t="s">
        <v>364</v>
      </c>
      <c r="D61" t="s">
        <v>78</v>
      </c>
      <c r="E61" t="s">
        <v>79</v>
      </c>
      <c r="F61" t="s">
        <v>365</v>
      </c>
      <c r="G61" t="s">
        <v>391</v>
      </c>
    </row>
    <row r="62" spans="1:7" x14ac:dyDescent="0.35">
      <c r="A62" t="s">
        <v>29</v>
      </c>
      <c r="B62" t="s">
        <v>30</v>
      </c>
      <c r="C62" t="s">
        <v>364</v>
      </c>
      <c r="D62" t="s">
        <v>142</v>
      </c>
      <c r="E62" t="s">
        <v>143</v>
      </c>
      <c r="F62" t="s">
        <v>365</v>
      </c>
      <c r="G62" t="s">
        <v>391</v>
      </c>
    </row>
    <row r="63" spans="1:7" x14ac:dyDescent="0.35">
      <c r="A63" t="s">
        <v>29</v>
      </c>
      <c r="B63" t="s">
        <v>30</v>
      </c>
      <c r="C63" t="s">
        <v>364</v>
      </c>
      <c r="D63" t="s">
        <v>292</v>
      </c>
      <c r="E63" t="s">
        <v>293</v>
      </c>
      <c r="F63" t="s">
        <v>365</v>
      </c>
      <c r="G63" t="s">
        <v>391</v>
      </c>
    </row>
    <row r="64" spans="1:7" x14ac:dyDescent="0.35">
      <c r="A64" t="s">
        <v>29</v>
      </c>
      <c r="B64" t="s">
        <v>30</v>
      </c>
      <c r="C64" t="s">
        <v>364</v>
      </c>
      <c r="D64" t="s">
        <v>306</v>
      </c>
      <c r="E64" t="s">
        <v>307</v>
      </c>
      <c r="F64" t="s">
        <v>365</v>
      </c>
      <c r="G64" t="s">
        <v>391</v>
      </c>
    </row>
    <row r="65" spans="1:7" x14ac:dyDescent="0.35">
      <c r="A65" t="s">
        <v>29</v>
      </c>
      <c r="B65" t="s">
        <v>30</v>
      </c>
      <c r="C65" t="s">
        <v>364</v>
      </c>
      <c r="D65" t="s">
        <v>318</v>
      </c>
      <c r="E65" t="s">
        <v>319</v>
      </c>
      <c r="F65" t="s">
        <v>365</v>
      </c>
      <c r="G65" t="s">
        <v>391</v>
      </c>
    </row>
    <row r="66" spans="1:7" x14ac:dyDescent="0.35">
      <c r="A66" t="s">
        <v>29</v>
      </c>
      <c r="B66" t="s">
        <v>30</v>
      </c>
      <c r="C66" t="s">
        <v>364</v>
      </c>
      <c r="D66" t="s">
        <v>331</v>
      </c>
      <c r="E66" t="s">
        <v>332</v>
      </c>
      <c r="F66" t="s">
        <v>365</v>
      </c>
      <c r="G66" t="s">
        <v>391</v>
      </c>
    </row>
    <row r="67" spans="1:7" x14ac:dyDescent="0.35">
      <c r="A67" t="s">
        <v>34</v>
      </c>
      <c r="B67" t="s">
        <v>35</v>
      </c>
      <c r="C67" t="s">
        <v>364</v>
      </c>
      <c r="D67" t="s">
        <v>112</v>
      </c>
      <c r="E67" t="s">
        <v>113</v>
      </c>
      <c r="F67" t="s">
        <v>365</v>
      </c>
      <c r="G67" t="s">
        <v>391</v>
      </c>
    </row>
    <row r="68" spans="1:7" x14ac:dyDescent="0.35">
      <c r="A68" t="s">
        <v>34</v>
      </c>
      <c r="B68" t="s">
        <v>35</v>
      </c>
      <c r="C68" t="s">
        <v>364</v>
      </c>
      <c r="D68" t="s">
        <v>36</v>
      </c>
      <c r="E68" t="s">
        <v>37</v>
      </c>
      <c r="F68" t="s">
        <v>365</v>
      </c>
      <c r="G68" t="s">
        <v>391</v>
      </c>
    </row>
    <row r="69" spans="1:7" x14ac:dyDescent="0.35">
      <c r="A69" t="s">
        <v>196</v>
      </c>
      <c r="B69" t="s">
        <v>197</v>
      </c>
      <c r="C69" t="s">
        <v>364</v>
      </c>
      <c r="D69" t="s">
        <v>198</v>
      </c>
      <c r="E69" t="s">
        <v>199</v>
      </c>
      <c r="F69" t="s">
        <v>365</v>
      </c>
      <c r="G69" t="s">
        <v>391</v>
      </c>
    </row>
    <row r="70" spans="1:7" x14ac:dyDescent="0.35">
      <c r="A70" t="s">
        <v>218</v>
      </c>
      <c r="B70" t="s">
        <v>219</v>
      </c>
      <c r="C70" t="s">
        <v>364</v>
      </c>
      <c r="D70" t="s">
        <v>220</v>
      </c>
      <c r="E70" t="s">
        <v>221</v>
      </c>
      <c r="F70" t="s">
        <v>365</v>
      </c>
      <c r="G70" t="s">
        <v>391</v>
      </c>
    </row>
    <row r="71" spans="1:7" x14ac:dyDescent="0.35">
      <c r="A71" t="s">
        <v>218</v>
      </c>
      <c r="B71" t="s">
        <v>219</v>
      </c>
      <c r="C71" t="s">
        <v>364</v>
      </c>
      <c r="D71" t="s">
        <v>325</v>
      </c>
      <c r="E71" t="s">
        <v>326</v>
      </c>
      <c r="F71" t="s">
        <v>365</v>
      </c>
      <c r="G71" t="s">
        <v>391</v>
      </c>
    </row>
    <row r="72" spans="1:7" x14ac:dyDescent="0.35">
      <c r="A72" t="s">
        <v>125</v>
      </c>
      <c r="B72" t="s">
        <v>126</v>
      </c>
      <c r="C72" t="s">
        <v>364</v>
      </c>
      <c r="D72" t="s">
        <v>127</v>
      </c>
      <c r="E72" t="s">
        <v>128</v>
      </c>
      <c r="F72" t="s">
        <v>365</v>
      </c>
      <c r="G72" t="s">
        <v>393</v>
      </c>
    </row>
    <row r="73" spans="1:7" x14ac:dyDescent="0.35">
      <c r="A73" t="s">
        <v>125</v>
      </c>
      <c r="B73" t="s">
        <v>126</v>
      </c>
      <c r="C73" t="s">
        <v>364</v>
      </c>
      <c r="D73" t="s">
        <v>89</v>
      </c>
      <c r="E73" t="s">
        <v>90</v>
      </c>
      <c r="F73" t="s">
        <v>365</v>
      </c>
      <c r="G73" t="s">
        <v>393</v>
      </c>
    </row>
    <row r="74" spans="1:7" x14ac:dyDescent="0.35">
      <c r="A74" t="s">
        <v>125</v>
      </c>
      <c r="B74" t="s">
        <v>126</v>
      </c>
      <c r="C74" t="s">
        <v>364</v>
      </c>
      <c r="D74" t="s">
        <v>278</v>
      </c>
      <c r="E74" t="s">
        <v>279</v>
      </c>
      <c r="F74" t="s">
        <v>365</v>
      </c>
      <c r="G74" t="s">
        <v>393</v>
      </c>
    </row>
    <row r="75" spans="1:7" x14ac:dyDescent="0.35">
      <c r="A75" t="s">
        <v>125</v>
      </c>
      <c r="B75" t="s">
        <v>126</v>
      </c>
      <c r="C75" t="s">
        <v>364</v>
      </c>
      <c r="D75" t="s">
        <v>281</v>
      </c>
      <c r="E75" t="s">
        <v>282</v>
      </c>
      <c r="F75" t="s">
        <v>365</v>
      </c>
      <c r="G75" t="s">
        <v>393</v>
      </c>
    </row>
    <row r="76" spans="1:7" x14ac:dyDescent="0.35">
      <c r="A76" t="s">
        <v>87</v>
      </c>
      <c r="B76" t="s">
        <v>88</v>
      </c>
      <c r="C76" t="s">
        <v>364</v>
      </c>
      <c r="D76" t="s">
        <v>309</v>
      </c>
      <c r="E76" t="s">
        <v>310</v>
      </c>
      <c r="F76" t="s">
        <v>365</v>
      </c>
      <c r="G76" t="s">
        <v>391</v>
      </c>
    </row>
    <row r="77" spans="1:7" x14ac:dyDescent="0.35">
      <c r="A77" t="s">
        <v>87</v>
      </c>
      <c r="B77" t="s">
        <v>88</v>
      </c>
      <c r="C77" t="s">
        <v>364</v>
      </c>
      <c r="D77" t="s">
        <v>312</v>
      </c>
      <c r="E77" t="s">
        <v>313</v>
      </c>
      <c r="F77" t="s">
        <v>365</v>
      </c>
      <c r="G77" t="s">
        <v>391</v>
      </c>
    </row>
    <row r="78" spans="1:7" x14ac:dyDescent="0.35">
      <c r="A78" t="s">
        <v>87</v>
      </c>
      <c r="B78" t="s">
        <v>88</v>
      </c>
      <c r="C78" t="s">
        <v>364</v>
      </c>
      <c r="D78" t="s">
        <v>91</v>
      </c>
      <c r="E78" t="s">
        <v>92</v>
      </c>
      <c r="F78" t="s">
        <v>369</v>
      </c>
      <c r="G78" t="s">
        <v>391</v>
      </c>
    </row>
    <row r="79" spans="1:7" x14ac:dyDescent="0.35">
      <c r="A79" t="s">
        <v>287</v>
      </c>
      <c r="B79" t="s">
        <v>288</v>
      </c>
      <c r="C79" t="s">
        <v>364</v>
      </c>
      <c r="D79" t="s">
        <v>289</v>
      </c>
      <c r="E79" t="s">
        <v>290</v>
      </c>
      <c r="F79" t="s">
        <v>365</v>
      </c>
      <c r="G79" t="s">
        <v>392</v>
      </c>
    </row>
    <row r="80" spans="1:7" x14ac:dyDescent="0.35">
      <c r="A80" t="s">
        <v>287</v>
      </c>
      <c r="B80" t="s">
        <v>288</v>
      </c>
      <c r="C80" t="s">
        <v>364</v>
      </c>
      <c r="D80" t="s">
        <v>321</v>
      </c>
      <c r="E80" t="s">
        <v>322</v>
      </c>
      <c r="F80" t="s">
        <v>365</v>
      </c>
      <c r="G80" t="s">
        <v>392</v>
      </c>
    </row>
    <row r="81" spans="1:7" x14ac:dyDescent="0.35">
      <c r="A81" t="str">
        <f>_xlfn.XLOOKUP($D81,All_Photoquad_codes_HeirarchyTr!$G$2:$G$111,All_Photoquad_codes_HeirarchyTr!E$2:E$111)</f>
        <v>ACSP</v>
      </c>
      <c r="B81" t="str">
        <f>_xlfn.XLOOKUP($D81,All_Photoquad_codes_HeirarchyTr!$G$2:$G$111,All_Photoquad_codes_HeirarchyTr!F$2:F$111)</f>
        <v>Acropora sp</v>
      </c>
      <c r="C81" t="s">
        <v>365</v>
      </c>
      <c r="D81" t="s">
        <v>21</v>
      </c>
      <c r="E81" t="s">
        <v>22</v>
      </c>
      <c r="F81" t="s">
        <v>370</v>
      </c>
      <c r="G81" t="s">
        <v>394</v>
      </c>
    </row>
    <row r="82" spans="1:7" x14ac:dyDescent="0.35">
      <c r="A82" t="str">
        <f>_xlfn.XLOOKUP($D82,All_Photoquad_codes_HeirarchyTr!$G$2:$G$111,All_Photoquad_codes_HeirarchyTr!E$2:E$111)</f>
        <v>ACSP</v>
      </c>
      <c r="B82" t="str">
        <f>_xlfn.XLOOKUP($D82,All_Photoquad_codes_HeirarchyTr!$G$2:$G$111,All_Photoquad_codes_HeirarchyTr!F$2:F$111)</f>
        <v>Acropora sp</v>
      </c>
      <c r="C82" t="s">
        <v>365</v>
      </c>
      <c r="D82" t="s">
        <v>26</v>
      </c>
      <c r="E82" t="s">
        <v>27</v>
      </c>
      <c r="F82" t="s">
        <v>370</v>
      </c>
      <c r="G82" t="s">
        <v>394</v>
      </c>
    </row>
    <row r="83" spans="1:7" x14ac:dyDescent="0.35">
      <c r="A83" t="s">
        <v>112</v>
      </c>
      <c r="B83" t="s">
        <v>113</v>
      </c>
      <c r="C83" t="s">
        <v>365</v>
      </c>
      <c r="D83" t="s">
        <v>243</v>
      </c>
      <c r="E83" t="s">
        <v>244</v>
      </c>
      <c r="F83" t="s">
        <v>369</v>
      </c>
      <c r="G83" t="s">
        <v>391</v>
      </c>
    </row>
    <row r="84" spans="1:7" x14ac:dyDescent="0.35">
      <c r="A84" t="str">
        <f>_xlfn.XLOOKUP($D84,All_Photoquad_codes_HeirarchyTr!$G$2:$G$111,All_Photoquad_codes_HeirarchyTr!E$2:E$111)</f>
        <v>MOSP</v>
      </c>
      <c r="B84" t="str">
        <f>_xlfn.XLOOKUP($D84,All_Photoquad_codes_HeirarchyTr!$G$2:$G$111,All_Photoquad_codes_HeirarchyTr!F$2:F$111)</f>
        <v>Montipora sp</v>
      </c>
      <c r="C84" t="s">
        <v>365</v>
      </c>
      <c r="D84" t="s">
        <v>203</v>
      </c>
      <c r="E84" t="s">
        <v>204</v>
      </c>
      <c r="F84" t="s">
        <v>370</v>
      </c>
      <c r="G84" t="s">
        <v>394</v>
      </c>
    </row>
    <row r="85" spans="1:7" x14ac:dyDescent="0.35">
      <c r="A85" t="str">
        <f>_xlfn.XLOOKUP($D85,All_Photoquad_codes_HeirarchyTr!$G$2:$G$111,All_Photoquad_codes_HeirarchyTr!E$2:E$111)</f>
        <v>MOSP</v>
      </c>
      <c r="B85" t="str">
        <f>_xlfn.XLOOKUP($D85,All_Photoquad_codes_HeirarchyTr!$G$2:$G$111,All_Photoquad_codes_HeirarchyTr!F$2:F$111)</f>
        <v>Montipora sp</v>
      </c>
      <c r="C85" t="s">
        <v>365</v>
      </c>
      <c r="D85" t="s">
        <v>206</v>
      </c>
      <c r="E85" t="s">
        <v>207</v>
      </c>
      <c r="F85" t="s">
        <v>370</v>
      </c>
      <c r="G85" t="s">
        <v>394</v>
      </c>
    </row>
    <row r="86" spans="1:7" x14ac:dyDescent="0.35">
      <c r="A86" t="str">
        <f>_xlfn.XLOOKUP($D86,All_Photoquad_codes_HeirarchyTr!$G$2:$G$111,All_Photoquad_codes_HeirarchyTr!E$2:E$111)</f>
        <v>MOSP</v>
      </c>
      <c r="B86" t="str">
        <f>_xlfn.XLOOKUP($D86,All_Photoquad_codes_HeirarchyTr!$G$2:$G$111,All_Photoquad_codes_HeirarchyTr!F$2:F$111)</f>
        <v>Montipora sp</v>
      </c>
      <c r="C86" t="s">
        <v>365</v>
      </c>
      <c r="D86" t="s">
        <v>209</v>
      </c>
      <c r="E86" t="s">
        <v>210</v>
      </c>
      <c r="F86" t="s">
        <v>370</v>
      </c>
      <c r="G86" t="s">
        <v>394</v>
      </c>
    </row>
    <row r="87" spans="1:7" x14ac:dyDescent="0.35">
      <c r="A87" t="str">
        <f>_xlfn.XLOOKUP($D87,All_Photoquad_codes_HeirarchyTr!$G$2:$G$111,All_Photoquad_codes_HeirarchyTr!E$2:E$111)</f>
        <v>MOSP</v>
      </c>
      <c r="B87" t="str">
        <f>_xlfn.XLOOKUP($D87,All_Photoquad_codes_HeirarchyTr!$G$2:$G$111,All_Photoquad_codes_HeirarchyTr!F$2:F$111)</f>
        <v>Montipora sp</v>
      </c>
      <c r="C87" t="s">
        <v>365</v>
      </c>
      <c r="D87" t="s">
        <v>341</v>
      </c>
      <c r="E87" t="s">
        <v>389</v>
      </c>
      <c r="F87" t="s">
        <v>370</v>
      </c>
      <c r="G87" t="s">
        <v>394</v>
      </c>
    </row>
    <row r="88" spans="1:7" x14ac:dyDescent="0.35">
      <c r="A88" t="s">
        <v>157</v>
      </c>
      <c r="B88" t="s">
        <v>158</v>
      </c>
      <c r="C88" t="s">
        <v>365</v>
      </c>
      <c r="D88" t="s">
        <v>159</v>
      </c>
      <c r="E88" t="s">
        <v>160</v>
      </c>
      <c r="F88" t="s">
        <v>369</v>
      </c>
      <c r="G88" t="s">
        <v>391</v>
      </c>
    </row>
    <row r="89" spans="1:7" x14ac:dyDescent="0.35">
      <c r="A89" t="s">
        <v>157</v>
      </c>
      <c r="B89" t="s">
        <v>158</v>
      </c>
      <c r="C89" t="s">
        <v>365</v>
      </c>
      <c r="D89" t="s">
        <v>162</v>
      </c>
      <c r="E89" t="s">
        <v>163</v>
      </c>
      <c r="F89" t="s">
        <v>369</v>
      </c>
      <c r="G89" t="s">
        <v>391</v>
      </c>
    </row>
    <row r="90" spans="1:7" x14ac:dyDescent="0.35">
      <c r="A90" t="str">
        <f>_xlfn.XLOOKUP($D90,All_Photoquad_codes_HeirarchyTr!$G$2:$G$111,All_Photoquad_codes_HeirarchyTr!E$2:E$111)</f>
        <v>PAVS</v>
      </c>
      <c r="B90" t="str">
        <f>_xlfn.XLOOKUP($D90,All_Photoquad_codes_HeirarchyTr!$G$2:$G$111,All_Photoquad_codes_HeirarchyTr!F$2:F$111)</f>
        <v>Pavona sp</v>
      </c>
      <c r="C90" t="s">
        <v>365</v>
      </c>
      <c r="D90" t="s">
        <v>234</v>
      </c>
      <c r="E90" t="s">
        <v>235</v>
      </c>
      <c r="F90" t="s">
        <v>370</v>
      </c>
      <c r="G90" t="s">
        <v>394</v>
      </c>
    </row>
    <row r="91" spans="1:7" x14ac:dyDescent="0.35">
      <c r="A91" t="str">
        <f>_xlfn.XLOOKUP($D91,All_Photoquad_codes_HeirarchyTr!$G$2:$G$111,All_Photoquad_codes_HeirarchyTr!E$2:E$111)</f>
        <v>PAVS</v>
      </c>
      <c r="B91" t="str">
        <f>_xlfn.XLOOKUP($D91,All_Photoquad_codes_HeirarchyTr!$G$2:$G$111,All_Photoquad_codes_HeirarchyTr!F$2:F$111)</f>
        <v>Pavona sp</v>
      </c>
      <c r="C91" t="s">
        <v>365</v>
      </c>
      <c r="D91" t="s">
        <v>237</v>
      </c>
      <c r="E91" t="s">
        <v>238</v>
      </c>
      <c r="F91" t="s">
        <v>370</v>
      </c>
      <c r="G91" t="s">
        <v>394</v>
      </c>
    </row>
    <row r="92" spans="1:7" x14ac:dyDescent="0.35">
      <c r="A92" t="str">
        <f>_xlfn.XLOOKUP($D92,All_Photoquad_codes_HeirarchyTr!$G$2:$G$111,All_Photoquad_codes_HeirarchyTr!E$2:E$111)</f>
        <v>PAVS</v>
      </c>
      <c r="B92" t="str">
        <f>_xlfn.XLOOKUP($D92,All_Photoquad_codes_HeirarchyTr!$G$2:$G$111,All_Photoquad_codes_HeirarchyTr!F$2:F$111)</f>
        <v>Pavona sp</v>
      </c>
      <c r="C92" t="s">
        <v>365</v>
      </c>
      <c r="D92" t="s">
        <v>240</v>
      </c>
      <c r="E92" t="s">
        <v>241</v>
      </c>
      <c r="F92" t="s">
        <v>370</v>
      </c>
      <c r="G92" t="s">
        <v>394</v>
      </c>
    </row>
    <row r="93" spans="1:7" x14ac:dyDescent="0.35">
      <c r="A93" t="str">
        <f>_xlfn.XLOOKUP($D93,All_Photoquad_codes_HeirarchyTr!$G$2:$G$111,All_Photoquad_codes_HeirarchyTr!E$2:E$111)</f>
        <v>POSP</v>
      </c>
      <c r="B93" t="str">
        <f>_xlfn.XLOOKUP($D93,All_Photoquad_codes_HeirarchyTr!$G$2:$G$111,All_Photoquad_codes_HeirarchyTr!F$2:F$111)</f>
        <v>Porites sp</v>
      </c>
      <c r="C93" t="s">
        <v>365</v>
      </c>
      <c r="D93" t="s">
        <v>257</v>
      </c>
      <c r="E93" t="s">
        <v>258</v>
      </c>
      <c r="F93" t="s">
        <v>370</v>
      </c>
      <c r="G93" t="s">
        <v>394</v>
      </c>
    </row>
    <row r="94" spans="1:7" x14ac:dyDescent="0.35">
      <c r="A94" t="str">
        <f>_xlfn.XLOOKUP($D94,All_Photoquad_codes_HeirarchyTr!$G$2:$G$111,All_Photoquad_codes_HeirarchyTr!E$2:E$111)</f>
        <v>POSP</v>
      </c>
      <c r="B94" t="str">
        <f>_xlfn.XLOOKUP($D94,All_Photoquad_codes_HeirarchyTr!$G$2:$G$111,All_Photoquad_codes_HeirarchyTr!F$2:F$111)</f>
        <v>Porites sp</v>
      </c>
      <c r="C94" t="s">
        <v>365</v>
      </c>
      <c r="D94" t="s">
        <v>263</v>
      </c>
      <c r="E94" t="s">
        <v>264</v>
      </c>
      <c r="F94" t="s">
        <v>370</v>
      </c>
      <c r="G94" t="s">
        <v>394</v>
      </c>
    </row>
    <row r="95" spans="1:7" x14ac:dyDescent="0.35">
      <c r="A95" t="str">
        <f>_xlfn.XLOOKUP($D95,All_Photoquad_codes_HeirarchyTr!$G$2:$G$111,All_Photoquad_codes_HeirarchyTr!E$2:E$111)</f>
        <v>POSP</v>
      </c>
      <c r="B95" t="str">
        <f>_xlfn.XLOOKUP($D95,All_Photoquad_codes_HeirarchyTr!$G$2:$G$111,All_Photoquad_codes_HeirarchyTr!F$2:F$111)</f>
        <v>Porites sp</v>
      </c>
      <c r="C95" t="s">
        <v>365</v>
      </c>
      <c r="D95" t="s">
        <v>266</v>
      </c>
      <c r="E95" t="s">
        <v>267</v>
      </c>
      <c r="F95" t="s">
        <v>370</v>
      </c>
      <c r="G95" t="s">
        <v>394</v>
      </c>
    </row>
    <row r="96" spans="1:7" x14ac:dyDescent="0.35">
      <c r="A96" t="str">
        <f>_xlfn.XLOOKUP($D96,All_Photoquad_codes_HeirarchyTr!$G$2:$G$111,All_Photoquad_codes_HeirarchyTr!E$2:E$111)</f>
        <v>POSP</v>
      </c>
      <c r="B96" t="str">
        <f>_xlfn.XLOOKUP($D96,All_Photoquad_codes_HeirarchyTr!$G$2:$G$111,All_Photoquad_codes_HeirarchyTr!F$2:F$111)</f>
        <v>Porites sp</v>
      </c>
      <c r="C96" t="s">
        <v>365</v>
      </c>
      <c r="D96" t="s">
        <v>269</v>
      </c>
      <c r="E96" t="s">
        <v>270</v>
      </c>
      <c r="F96" t="s">
        <v>370</v>
      </c>
      <c r="G96" t="s">
        <v>394</v>
      </c>
    </row>
    <row r="97" spans="1:7" x14ac:dyDescent="0.35">
      <c r="A97" t="str">
        <f>_xlfn.XLOOKUP($D97,All_Photoquad_codes_HeirarchyTr!$G$2:$G$111,All_Photoquad_codes_HeirarchyTr!E$2:E$111)</f>
        <v>POSP</v>
      </c>
      <c r="B97" t="str">
        <f>_xlfn.XLOOKUP($D97,All_Photoquad_codes_HeirarchyTr!$G$2:$G$111,All_Photoquad_codes_HeirarchyTr!F$2:F$111)</f>
        <v>Porites sp</v>
      </c>
      <c r="C97" t="s">
        <v>365</v>
      </c>
      <c r="D97" t="s">
        <v>345</v>
      </c>
      <c r="E97" t="s">
        <v>390</v>
      </c>
      <c r="F97" t="s">
        <v>370</v>
      </c>
      <c r="G97" t="s">
        <v>394</v>
      </c>
    </row>
    <row r="98" spans="1:7" x14ac:dyDescent="0.35">
      <c r="A98" t="s">
        <v>36</v>
      </c>
      <c r="B98" t="s">
        <v>37</v>
      </c>
      <c r="C98" t="s">
        <v>365</v>
      </c>
      <c r="D98" t="s">
        <v>38</v>
      </c>
      <c r="E98" t="s">
        <v>39</v>
      </c>
      <c r="F98" t="s">
        <v>369</v>
      </c>
      <c r="G98" t="s">
        <v>391</v>
      </c>
    </row>
    <row r="99" spans="1:7" x14ac:dyDescent="0.35">
      <c r="A99" t="s">
        <v>36</v>
      </c>
      <c r="B99" t="s">
        <v>37</v>
      </c>
      <c r="C99" t="s">
        <v>365</v>
      </c>
      <c r="D99" t="s">
        <v>54</v>
      </c>
      <c r="E99" t="s">
        <v>55</v>
      </c>
      <c r="F99" t="s">
        <v>369</v>
      </c>
      <c r="G99" t="s">
        <v>391</v>
      </c>
    </row>
    <row r="100" spans="1:7" x14ac:dyDescent="0.35">
      <c r="A100" t="s">
        <v>36</v>
      </c>
      <c r="B100" t="s">
        <v>37</v>
      </c>
      <c r="C100" t="s">
        <v>365</v>
      </c>
      <c r="D100" t="s">
        <v>61</v>
      </c>
      <c r="E100" t="s">
        <v>62</v>
      </c>
      <c r="F100" t="s">
        <v>369</v>
      </c>
      <c r="G100" t="s">
        <v>391</v>
      </c>
    </row>
    <row r="101" spans="1:7" x14ac:dyDescent="0.35">
      <c r="A101" t="s">
        <v>36</v>
      </c>
      <c r="B101" t="s">
        <v>37</v>
      </c>
      <c r="C101" t="s">
        <v>365</v>
      </c>
      <c r="D101" t="s">
        <v>100</v>
      </c>
      <c r="E101" t="s">
        <v>101</v>
      </c>
      <c r="F101" t="s">
        <v>369</v>
      </c>
      <c r="G101" t="s">
        <v>391</v>
      </c>
    </row>
    <row r="102" spans="1:7" x14ac:dyDescent="0.35">
      <c r="A102" t="s">
        <v>36</v>
      </c>
      <c r="B102" t="s">
        <v>37</v>
      </c>
      <c r="C102" t="s">
        <v>365</v>
      </c>
      <c r="D102" t="s">
        <v>49</v>
      </c>
      <c r="E102" t="s">
        <v>50</v>
      </c>
      <c r="F102" t="s">
        <v>369</v>
      </c>
      <c r="G102" t="s">
        <v>391</v>
      </c>
    </row>
    <row r="103" spans="1:7" x14ac:dyDescent="0.35">
      <c r="A103" t="s">
        <v>36</v>
      </c>
      <c r="B103" t="s">
        <v>37</v>
      </c>
      <c r="C103" t="s">
        <v>365</v>
      </c>
      <c r="D103" t="s">
        <v>153</v>
      </c>
      <c r="E103" t="s">
        <v>154</v>
      </c>
      <c r="F103" t="s">
        <v>369</v>
      </c>
      <c r="G103" t="s">
        <v>391</v>
      </c>
    </row>
    <row r="104" spans="1:7" x14ac:dyDescent="0.35">
      <c r="A104" t="s">
        <v>36</v>
      </c>
      <c r="B104" t="s">
        <v>37</v>
      </c>
      <c r="C104" t="s">
        <v>365</v>
      </c>
      <c r="D104" t="s">
        <v>177</v>
      </c>
      <c r="E104" t="s">
        <v>178</v>
      </c>
      <c r="F104" t="s">
        <v>369</v>
      </c>
      <c r="G104" t="s">
        <v>391</v>
      </c>
    </row>
    <row r="105" spans="1:7" x14ac:dyDescent="0.35">
      <c r="A105" t="s">
        <v>36</v>
      </c>
      <c r="B105" t="s">
        <v>37</v>
      </c>
      <c r="C105" t="s">
        <v>365</v>
      </c>
      <c r="D105" t="s">
        <v>190</v>
      </c>
      <c r="E105" t="s">
        <v>191</v>
      </c>
      <c r="F105" t="s">
        <v>369</v>
      </c>
      <c r="G105" t="s">
        <v>391</v>
      </c>
    </row>
    <row r="106" spans="1:7" x14ac:dyDescent="0.35">
      <c r="A106" t="s">
        <v>36</v>
      </c>
      <c r="B106" t="s">
        <v>37</v>
      </c>
      <c r="C106" t="s">
        <v>365</v>
      </c>
      <c r="D106" t="s">
        <v>229</v>
      </c>
      <c r="E106" t="s">
        <v>230</v>
      </c>
      <c r="F106" t="s">
        <v>369</v>
      </c>
      <c r="G106" t="s">
        <v>391</v>
      </c>
    </row>
    <row r="107" spans="1:7" x14ac:dyDescent="0.35">
      <c r="A107" t="s">
        <v>36</v>
      </c>
      <c r="B107" t="s">
        <v>37</v>
      </c>
      <c r="C107" t="s">
        <v>365</v>
      </c>
      <c r="D107" t="s">
        <v>275</v>
      </c>
      <c r="E107" t="s">
        <v>276</v>
      </c>
      <c r="F107" t="s">
        <v>369</v>
      </c>
      <c r="G107" t="s">
        <v>391</v>
      </c>
    </row>
    <row r="108" spans="1:7" x14ac:dyDescent="0.35">
      <c r="A108" t="s">
        <v>36</v>
      </c>
      <c r="B108" t="s">
        <v>37</v>
      </c>
      <c r="C108" t="s">
        <v>365</v>
      </c>
      <c r="D108" t="s">
        <v>284</v>
      </c>
      <c r="E108" t="s">
        <v>285</v>
      </c>
      <c r="F108" t="s">
        <v>369</v>
      </c>
      <c r="G108" t="s">
        <v>391</v>
      </c>
    </row>
    <row r="109" spans="1:7" x14ac:dyDescent="0.35">
      <c r="A109" t="s">
        <v>61</v>
      </c>
      <c r="B109" t="s">
        <v>62</v>
      </c>
      <c r="C109" t="s">
        <v>369</v>
      </c>
      <c r="D109" t="s">
        <v>97</v>
      </c>
      <c r="E109" t="s">
        <v>98</v>
      </c>
      <c r="F109" t="s">
        <v>370</v>
      </c>
      <c r="G109" t="s">
        <v>391</v>
      </c>
    </row>
    <row r="110" spans="1:7" x14ac:dyDescent="0.35">
      <c r="A110" t="s">
        <v>49</v>
      </c>
      <c r="B110" t="s">
        <v>50</v>
      </c>
      <c r="C110" t="s">
        <v>369</v>
      </c>
      <c r="D110" t="s">
        <v>51</v>
      </c>
      <c r="E110" t="s">
        <v>52</v>
      </c>
      <c r="F110" t="s">
        <v>370</v>
      </c>
      <c r="G110" t="s">
        <v>391</v>
      </c>
    </row>
    <row r="111" spans="1:7" x14ac:dyDescent="0.35">
      <c r="A111" t="s">
        <v>49</v>
      </c>
      <c r="B111" t="s">
        <v>151</v>
      </c>
      <c r="C111" t="s">
        <v>369</v>
      </c>
      <c r="D111" t="s">
        <v>347</v>
      </c>
      <c r="E111" t="s">
        <v>348</v>
      </c>
      <c r="F111" t="s">
        <v>370</v>
      </c>
      <c r="G111" t="s">
        <v>391</v>
      </c>
    </row>
    <row r="112" spans="1:7" x14ac:dyDescent="0.35">
      <c r="A112" t="s">
        <v>49</v>
      </c>
      <c r="B112" t="s">
        <v>50</v>
      </c>
      <c r="C112" t="s">
        <v>369</v>
      </c>
      <c r="D112" t="s">
        <v>67</v>
      </c>
      <c r="E112" t="s">
        <v>68</v>
      </c>
      <c r="F112" t="s">
        <v>370</v>
      </c>
      <c r="G112" t="s">
        <v>391</v>
      </c>
    </row>
    <row r="113" spans="1:7" x14ac:dyDescent="0.35">
      <c r="A113" t="s">
        <v>49</v>
      </c>
      <c r="B113" t="s">
        <v>151</v>
      </c>
      <c r="C113" t="s">
        <v>369</v>
      </c>
      <c r="D113" t="s">
        <v>349</v>
      </c>
      <c r="E113" t="s">
        <v>350</v>
      </c>
      <c r="F113" t="s">
        <v>370</v>
      </c>
      <c r="G113" t="s">
        <v>391</v>
      </c>
    </row>
    <row r="114" spans="1:7" x14ac:dyDescent="0.35">
      <c r="A114" t="s">
        <v>49</v>
      </c>
      <c r="B114" t="s">
        <v>151</v>
      </c>
      <c r="C114" t="s">
        <v>369</v>
      </c>
      <c r="D114" t="s">
        <v>215</v>
      </c>
      <c r="E114" t="s">
        <v>216</v>
      </c>
      <c r="F114" t="s">
        <v>370</v>
      </c>
      <c r="G114" t="s">
        <v>391</v>
      </c>
    </row>
    <row r="115" spans="1:7" x14ac:dyDescent="0.35">
      <c r="A115" t="s">
        <v>275</v>
      </c>
      <c r="B115" t="s">
        <v>276</v>
      </c>
      <c r="C115" t="s">
        <v>369</v>
      </c>
      <c r="D115" t="s">
        <v>351</v>
      </c>
      <c r="E115" t="s">
        <v>352</v>
      </c>
      <c r="F115" t="s">
        <v>370</v>
      </c>
      <c r="G115" t="s">
        <v>391</v>
      </c>
    </row>
    <row r="116" spans="1:7" x14ac:dyDescent="0.35">
      <c r="A116" t="s">
        <v>275</v>
      </c>
      <c r="B116" t="s">
        <v>276</v>
      </c>
      <c r="C116" t="s">
        <v>369</v>
      </c>
      <c r="D116" t="s">
        <v>353</v>
      </c>
      <c r="E116" t="s">
        <v>354</v>
      </c>
      <c r="F116" t="s">
        <v>370</v>
      </c>
      <c r="G116" t="s">
        <v>391</v>
      </c>
    </row>
    <row r="117" spans="1:7" x14ac:dyDescent="0.35">
      <c r="A117" t="s">
        <v>275</v>
      </c>
      <c r="B117" t="s">
        <v>276</v>
      </c>
      <c r="C117" t="s">
        <v>369</v>
      </c>
      <c r="D117" t="s">
        <v>357</v>
      </c>
      <c r="E117" t="s">
        <v>358</v>
      </c>
      <c r="F117" t="s">
        <v>370</v>
      </c>
      <c r="G117" t="s">
        <v>391</v>
      </c>
    </row>
    <row r="118" spans="1:7" x14ac:dyDescent="0.35">
      <c r="A118" t="s">
        <v>275</v>
      </c>
      <c r="B118" t="s">
        <v>276</v>
      </c>
      <c r="C118" t="s">
        <v>369</v>
      </c>
      <c r="D118" t="s">
        <v>355</v>
      </c>
      <c r="E118" t="s">
        <v>356</v>
      </c>
      <c r="F118" t="s">
        <v>370</v>
      </c>
      <c r="G118" t="s">
        <v>391</v>
      </c>
    </row>
  </sheetData>
  <sortState xmlns:xlrd2="http://schemas.microsoft.com/office/spreadsheetml/2017/richdata2" ref="A2:G118">
    <sortCondition ref="C5:C118"/>
    <sortCondition ref="A5:A118"/>
    <sortCondition ref="F5:F118"/>
    <sortCondition ref="D5:D1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workbookViewId="0">
      <selection activeCell="C2" sqref="C2:C4"/>
    </sheetView>
  </sheetViews>
  <sheetFormatPr defaultRowHeight="14.5" x14ac:dyDescent="0.35"/>
  <cols>
    <col min="1" max="1" width="13.1796875" bestFit="1" customWidth="1"/>
    <col min="2" max="2" width="18.7265625" bestFit="1" customWidth="1"/>
    <col min="3" max="3" width="12.36328125" bestFit="1" customWidth="1"/>
    <col min="4" max="4" width="11.54296875" bestFit="1" customWidth="1"/>
    <col min="5" max="5" width="27.6328125" bestFit="1" customWidth="1"/>
    <col min="6" max="6" width="11.36328125" bestFit="1" customWidth="1"/>
  </cols>
  <sheetData>
    <row r="1" spans="1:7" x14ac:dyDescent="0.35">
      <c r="A1" t="s">
        <v>375</v>
      </c>
      <c r="B1" t="s">
        <v>376</v>
      </c>
      <c r="C1" t="s">
        <v>377</v>
      </c>
      <c r="D1" t="s">
        <v>374</v>
      </c>
      <c r="E1" t="s">
        <v>378</v>
      </c>
      <c r="F1" t="s">
        <v>379</v>
      </c>
      <c r="G1" t="s">
        <v>388</v>
      </c>
    </row>
    <row r="2" spans="1:7" x14ac:dyDescent="0.35">
      <c r="A2" t="s">
        <v>397</v>
      </c>
      <c r="B2" t="s">
        <v>398</v>
      </c>
      <c r="C2" t="s">
        <v>399</v>
      </c>
      <c r="D2" t="s">
        <v>381</v>
      </c>
      <c r="E2" t="s">
        <v>383</v>
      </c>
      <c r="F2" t="s">
        <v>382</v>
      </c>
      <c r="G2" t="s">
        <v>396</v>
      </c>
    </row>
    <row r="3" spans="1:7" x14ac:dyDescent="0.35">
      <c r="A3" t="s">
        <v>397</v>
      </c>
      <c r="B3" t="s">
        <v>398</v>
      </c>
      <c r="C3" t="s">
        <v>399</v>
      </c>
      <c r="D3" t="s">
        <v>386</v>
      </c>
      <c r="E3" t="s">
        <v>387</v>
      </c>
      <c r="F3" t="s">
        <v>382</v>
      </c>
      <c r="G3" t="s">
        <v>396</v>
      </c>
    </row>
    <row r="4" spans="1:7" x14ac:dyDescent="0.35">
      <c r="A4" t="s">
        <v>397</v>
      </c>
      <c r="B4" t="s">
        <v>398</v>
      </c>
      <c r="C4" t="s">
        <v>399</v>
      </c>
      <c r="D4" t="s">
        <v>384</v>
      </c>
      <c r="E4" t="s">
        <v>385</v>
      </c>
      <c r="F4" t="s">
        <v>382</v>
      </c>
      <c r="G4" t="s">
        <v>396</v>
      </c>
    </row>
    <row r="5" spans="1:7" x14ac:dyDescent="0.35">
      <c r="A5" t="s">
        <v>381</v>
      </c>
      <c r="B5" t="s">
        <v>383</v>
      </c>
      <c r="C5" t="s">
        <v>382</v>
      </c>
      <c r="D5" t="s">
        <v>70</v>
      </c>
      <c r="E5" t="s">
        <v>71</v>
      </c>
      <c r="F5" t="s">
        <v>364</v>
      </c>
      <c r="G5" t="s">
        <v>391</v>
      </c>
    </row>
    <row r="6" spans="1:7" x14ac:dyDescent="0.35">
      <c r="A6" t="s">
        <v>381</v>
      </c>
      <c r="B6" t="s">
        <v>383</v>
      </c>
      <c r="C6" t="s">
        <v>382</v>
      </c>
      <c r="D6" t="s">
        <v>10</v>
      </c>
      <c r="E6" t="s">
        <v>11</v>
      </c>
      <c r="F6" t="s">
        <v>364</v>
      </c>
      <c r="G6" t="s">
        <v>391</v>
      </c>
    </row>
    <row r="7" spans="1:7" x14ac:dyDescent="0.35">
      <c r="A7" t="s">
        <v>381</v>
      </c>
      <c r="B7" t="s">
        <v>383</v>
      </c>
      <c r="C7" t="s">
        <v>382</v>
      </c>
      <c r="D7" t="s">
        <v>29</v>
      </c>
      <c r="E7" t="s">
        <v>30</v>
      </c>
      <c r="F7" t="s">
        <v>364</v>
      </c>
      <c r="G7" t="s">
        <v>391</v>
      </c>
    </row>
    <row r="8" spans="1:7" x14ac:dyDescent="0.35">
      <c r="A8" t="s">
        <v>381</v>
      </c>
      <c r="B8" t="s">
        <v>383</v>
      </c>
      <c r="C8" t="s">
        <v>382</v>
      </c>
      <c r="D8" t="s">
        <v>34</v>
      </c>
      <c r="E8" t="s">
        <v>35</v>
      </c>
      <c r="F8" t="s">
        <v>364</v>
      </c>
      <c r="G8" t="s">
        <v>391</v>
      </c>
    </row>
    <row r="9" spans="1:7" x14ac:dyDescent="0.35">
      <c r="A9" t="s">
        <v>381</v>
      </c>
      <c r="B9" t="s">
        <v>383</v>
      </c>
      <c r="C9" t="s">
        <v>382</v>
      </c>
      <c r="D9" t="s">
        <v>196</v>
      </c>
      <c r="E9" t="s">
        <v>197</v>
      </c>
      <c r="F9" t="s">
        <v>364</v>
      </c>
      <c r="G9" t="s">
        <v>391</v>
      </c>
    </row>
    <row r="10" spans="1:7" x14ac:dyDescent="0.35">
      <c r="A10" t="s">
        <v>381</v>
      </c>
      <c r="B10" t="s">
        <v>383</v>
      </c>
      <c r="C10" t="s">
        <v>382</v>
      </c>
      <c r="D10" t="s">
        <v>87</v>
      </c>
      <c r="E10" t="s">
        <v>88</v>
      </c>
      <c r="F10" t="s">
        <v>364</v>
      </c>
      <c r="G10" t="s">
        <v>391</v>
      </c>
    </row>
    <row r="11" spans="1:7" x14ac:dyDescent="0.35">
      <c r="A11" t="s">
        <v>386</v>
      </c>
      <c r="B11" t="s">
        <v>387</v>
      </c>
      <c r="C11" t="s">
        <v>382</v>
      </c>
      <c r="D11" t="s">
        <v>301</v>
      </c>
      <c r="E11" t="s">
        <v>302</v>
      </c>
      <c r="F11" t="s">
        <v>364</v>
      </c>
      <c r="G11" t="s">
        <v>392</v>
      </c>
    </row>
    <row r="12" spans="1:7" x14ac:dyDescent="0.35">
      <c r="A12" t="s">
        <v>386</v>
      </c>
      <c r="B12" t="s">
        <v>387</v>
      </c>
      <c r="C12" t="s">
        <v>382</v>
      </c>
      <c r="D12" t="s">
        <v>287</v>
      </c>
      <c r="E12" t="s">
        <v>288</v>
      </c>
      <c r="F12" t="s">
        <v>364</v>
      </c>
      <c r="G12" t="s">
        <v>392</v>
      </c>
    </row>
    <row r="13" spans="1:7" x14ac:dyDescent="0.35">
      <c r="A13" t="s">
        <v>384</v>
      </c>
      <c r="B13" t="s">
        <v>385</v>
      </c>
      <c r="C13" t="s">
        <v>382</v>
      </c>
      <c r="D13" t="s">
        <v>125</v>
      </c>
      <c r="E13" t="s">
        <v>126</v>
      </c>
      <c r="F13" t="s">
        <v>364</v>
      </c>
      <c r="G13" t="s">
        <v>393</v>
      </c>
    </row>
    <row r="14" spans="1:7" x14ac:dyDescent="0.35">
      <c r="A14" t="s">
        <v>70</v>
      </c>
      <c r="B14" t="s">
        <v>71</v>
      </c>
      <c r="C14" t="s">
        <v>364</v>
      </c>
      <c r="D14" t="s">
        <v>72</v>
      </c>
      <c r="E14" t="s">
        <v>73</v>
      </c>
      <c r="F14" t="s">
        <v>365</v>
      </c>
      <c r="G14" t="s">
        <v>391</v>
      </c>
    </row>
    <row r="15" spans="1:7" x14ac:dyDescent="0.35">
      <c r="A15" t="s">
        <v>70</v>
      </c>
      <c r="B15" t="s">
        <v>71</v>
      </c>
      <c r="C15" t="s">
        <v>364</v>
      </c>
      <c r="D15" t="s">
        <v>75</v>
      </c>
      <c r="E15" t="s">
        <v>76</v>
      </c>
      <c r="F15" t="s">
        <v>365</v>
      </c>
      <c r="G15" t="s">
        <v>391</v>
      </c>
    </row>
    <row r="16" spans="1:7" x14ac:dyDescent="0.35">
      <c r="A16" t="s">
        <v>10</v>
      </c>
      <c r="B16" t="s">
        <v>11</v>
      </c>
      <c r="C16" t="s">
        <v>364</v>
      </c>
      <c r="D16" t="s">
        <v>17</v>
      </c>
      <c r="E16" t="s">
        <v>18</v>
      </c>
      <c r="F16" t="s">
        <v>365</v>
      </c>
      <c r="G16" t="s">
        <v>391</v>
      </c>
    </row>
    <row r="17" spans="1:7" x14ac:dyDescent="0.35">
      <c r="A17" t="s">
        <v>10</v>
      </c>
      <c r="B17" t="s">
        <v>11</v>
      </c>
      <c r="C17" t="s">
        <v>364</v>
      </c>
      <c r="D17" t="s">
        <v>81</v>
      </c>
      <c r="E17" t="s">
        <v>82</v>
      </c>
      <c r="F17" t="s">
        <v>365</v>
      </c>
      <c r="G17" t="s">
        <v>391</v>
      </c>
    </row>
    <row r="18" spans="1:7" x14ac:dyDescent="0.35">
      <c r="A18" t="s">
        <v>10</v>
      </c>
      <c r="B18" t="s">
        <v>11</v>
      </c>
      <c r="C18" t="s">
        <v>364</v>
      </c>
      <c r="D18" t="s">
        <v>12</v>
      </c>
      <c r="E18" t="s">
        <v>13</v>
      </c>
      <c r="F18" t="s">
        <v>365</v>
      </c>
      <c r="G18" t="s">
        <v>391</v>
      </c>
    </row>
    <row r="19" spans="1:7" x14ac:dyDescent="0.35">
      <c r="A19" t="s">
        <v>10</v>
      </c>
      <c r="B19" t="s">
        <v>11</v>
      </c>
      <c r="C19" t="s">
        <v>364</v>
      </c>
      <c r="D19" t="s">
        <v>130</v>
      </c>
      <c r="E19" t="s">
        <v>131</v>
      </c>
      <c r="F19" t="s">
        <v>365</v>
      </c>
      <c r="G19" t="s">
        <v>391</v>
      </c>
    </row>
    <row r="20" spans="1:7" x14ac:dyDescent="0.35">
      <c r="A20" t="s">
        <v>10</v>
      </c>
      <c r="B20" t="s">
        <v>11</v>
      </c>
      <c r="C20" t="s">
        <v>364</v>
      </c>
      <c r="D20" t="s">
        <v>133</v>
      </c>
      <c r="E20" t="s">
        <v>134</v>
      </c>
      <c r="F20" t="s">
        <v>365</v>
      </c>
      <c r="G20" t="s">
        <v>391</v>
      </c>
    </row>
    <row r="21" spans="1:7" x14ac:dyDescent="0.35">
      <c r="A21" t="s">
        <v>10</v>
      </c>
      <c r="B21" t="s">
        <v>11</v>
      </c>
      <c r="C21" t="s">
        <v>364</v>
      </c>
      <c r="D21" t="s">
        <v>44</v>
      </c>
      <c r="E21" t="s">
        <v>45</v>
      </c>
      <c r="F21" t="s">
        <v>365</v>
      </c>
      <c r="G21" t="s">
        <v>391</v>
      </c>
    </row>
    <row r="22" spans="1:7" x14ac:dyDescent="0.35">
      <c r="A22" t="s">
        <v>10</v>
      </c>
      <c r="B22" t="s">
        <v>11</v>
      </c>
      <c r="C22" t="s">
        <v>364</v>
      </c>
      <c r="D22" t="s">
        <v>157</v>
      </c>
      <c r="E22" t="s">
        <v>158</v>
      </c>
      <c r="F22" t="s">
        <v>365</v>
      </c>
      <c r="G22" t="s">
        <v>391</v>
      </c>
    </row>
    <row r="23" spans="1:7" x14ac:dyDescent="0.35">
      <c r="A23" t="s">
        <v>10</v>
      </c>
      <c r="B23" t="s">
        <v>11</v>
      </c>
      <c r="C23" t="s">
        <v>364</v>
      </c>
      <c r="D23" t="s">
        <v>24</v>
      </c>
      <c r="E23" t="s">
        <v>25</v>
      </c>
      <c r="F23" t="s">
        <v>365</v>
      </c>
      <c r="G23" t="s">
        <v>391</v>
      </c>
    </row>
    <row r="24" spans="1:7" x14ac:dyDescent="0.35">
      <c r="A24" t="s">
        <v>10</v>
      </c>
      <c r="B24" t="s">
        <v>11</v>
      </c>
      <c r="C24" t="s">
        <v>364</v>
      </c>
      <c r="D24" t="s">
        <v>14</v>
      </c>
      <c r="E24" t="s">
        <v>15</v>
      </c>
      <c r="F24" t="s">
        <v>369</v>
      </c>
      <c r="G24" t="s">
        <v>391</v>
      </c>
    </row>
    <row r="25" spans="1:7" x14ac:dyDescent="0.35">
      <c r="A25" t="s">
        <v>10</v>
      </c>
      <c r="B25" t="s">
        <v>11</v>
      </c>
      <c r="C25" t="s">
        <v>364</v>
      </c>
      <c r="D25" t="s">
        <v>19</v>
      </c>
      <c r="E25" t="s">
        <v>20</v>
      </c>
      <c r="F25" t="s">
        <v>369</v>
      </c>
      <c r="G25" t="s">
        <v>391</v>
      </c>
    </row>
    <row r="26" spans="1:7" x14ac:dyDescent="0.35">
      <c r="A26" t="s">
        <v>10</v>
      </c>
      <c r="B26" t="s">
        <v>11</v>
      </c>
      <c r="C26" t="s">
        <v>364</v>
      </c>
      <c r="D26" t="s">
        <v>41</v>
      </c>
      <c r="E26" t="s">
        <v>42</v>
      </c>
      <c r="F26" t="s">
        <v>369</v>
      </c>
      <c r="G26" t="s">
        <v>391</v>
      </c>
    </row>
    <row r="27" spans="1:7" x14ac:dyDescent="0.35">
      <c r="A27" t="s">
        <v>10</v>
      </c>
      <c r="B27" t="s">
        <v>11</v>
      </c>
      <c r="C27" t="s">
        <v>364</v>
      </c>
      <c r="D27" t="s">
        <v>46</v>
      </c>
      <c r="E27" t="s">
        <v>47</v>
      </c>
      <c r="F27" t="s">
        <v>369</v>
      </c>
      <c r="G27" t="s">
        <v>391</v>
      </c>
    </row>
    <row r="28" spans="1:7" x14ac:dyDescent="0.35">
      <c r="A28" t="s">
        <v>10</v>
      </c>
      <c r="B28" t="s">
        <v>11</v>
      </c>
      <c r="C28" t="s">
        <v>364</v>
      </c>
      <c r="D28" t="s">
        <v>84</v>
      </c>
      <c r="E28" t="s">
        <v>85</v>
      </c>
      <c r="F28" t="s">
        <v>369</v>
      </c>
      <c r="G28" t="s">
        <v>391</v>
      </c>
    </row>
    <row r="29" spans="1:7" x14ac:dyDescent="0.35">
      <c r="A29" t="s">
        <v>10</v>
      </c>
      <c r="B29" t="s">
        <v>11</v>
      </c>
      <c r="C29" t="s">
        <v>364</v>
      </c>
      <c r="D29" t="s">
        <v>94</v>
      </c>
      <c r="E29" t="s">
        <v>95</v>
      </c>
      <c r="F29" t="s">
        <v>369</v>
      </c>
      <c r="G29" t="s">
        <v>391</v>
      </c>
    </row>
    <row r="30" spans="1:7" x14ac:dyDescent="0.35">
      <c r="A30" t="s">
        <v>10</v>
      </c>
      <c r="B30" t="s">
        <v>11</v>
      </c>
      <c r="C30" t="s">
        <v>364</v>
      </c>
      <c r="D30" t="s">
        <v>103</v>
      </c>
      <c r="E30" t="s">
        <v>104</v>
      </c>
      <c r="F30" t="s">
        <v>369</v>
      </c>
      <c r="G30" t="s">
        <v>391</v>
      </c>
    </row>
    <row r="31" spans="1:7" x14ac:dyDescent="0.35">
      <c r="A31" t="s">
        <v>10</v>
      </c>
      <c r="B31" t="s">
        <v>11</v>
      </c>
      <c r="C31" t="s">
        <v>364</v>
      </c>
      <c r="D31" t="s">
        <v>106</v>
      </c>
      <c r="E31" t="s">
        <v>107</v>
      </c>
      <c r="F31" t="s">
        <v>369</v>
      </c>
      <c r="G31" t="s">
        <v>391</v>
      </c>
    </row>
    <row r="32" spans="1:7" x14ac:dyDescent="0.35">
      <c r="A32" t="s">
        <v>10</v>
      </c>
      <c r="B32" t="s">
        <v>11</v>
      </c>
      <c r="C32" t="s">
        <v>364</v>
      </c>
      <c r="D32" t="s">
        <v>109</v>
      </c>
      <c r="E32" t="s">
        <v>110</v>
      </c>
      <c r="F32" t="s">
        <v>369</v>
      </c>
      <c r="G32" t="s">
        <v>391</v>
      </c>
    </row>
    <row r="33" spans="1:7" x14ac:dyDescent="0.35">
      <c r="A33" t="s">
        <v>10</v>
      </c>
      <c r="B33" t="s">
        <v>11</v>
      </c>
      <c r="C33" t="s">
        <v>364</v>
      </c>
      <c r="D33" t="s">
        <v>116</v>
      </c>
      <c r="E33" t="s">
        <v>117</v>
      </c>
      <c r="F33" t="s">
        <v>369</v>
      </c>
      <c r="G33" t="s">
        <v>391</v>
      </c>
    </row>
    <row r="34" spans="1:7" x14ac:dyDescent="0.35">
      <c r="A34" t="s">
        <v>10</v>
      </c>
      <c r="B34" t="s">
        <v>11</v>
      </c>
      <c r="C34" t="s">
        <v>364</v>
      </c>
      <c r="D34" t="s">
        <v>119</v>
      </c>
      <c r="E34" t="s">
        <v>120</v>
      </c>
      <c r="F34" t="s">
        <v>369</v>
      </c>
      <c r="G34" t="s">
        <v>391</v>
      </c>
    </row>
    <row r="35" spans="1:7" x14ac:dyDescent="0.35">
      <c r="A35" t="s">
        <v>10</v>
      </c>
      <c r="B35" t="s">
        <v>11</v>
      </c>
      <c r="C35" t="s">
        <v>364</v>
      </c>
      <c r="D35" t="s">
        <v>122</v>
      </c>
      <c r="E35" t="s">
        <v>123</v>
      </c>
      <c r="F35" t="s">
        <v>369</v>
      </c>
      <c r="G35" t="s">
        <v>391</v>
      </c>
    </row>
    <row r="36" spans="1:7" x14ac:dyDescent="0.35">
      <c r="A36" t="s">
        <v>10</v>
      </c>
      <c r="B36" t="s">
        <v>11</v>
      </c>
      <c r="C36" t="s">
        <v>364</v>
      </c>
      <c r="D36" t="s">
        <v>136</v>
      </c>
      <c r="E36" t="s">
        <v>137</v>
      </c>
      <c r="F36" t="s">
        <v>369</v>
      </c>
      <c r="G36" t="s">
        <v>391</v>
      </c>
    </row>
    <row r="37" spans="1:7" x14ac:dyDescent="0.35">
      <c r="A37" t="s">
        <v>10</v>
      </c>
      <c r="B37" t="s">
        <v>11</v>
      </c>
      <c r="C37" t="s">
        <v>364</v>
      </c>
      <c r="D37" t="s">
        <v>139</v>
      </c>
      <c r="E37" t="s">
        <v>140</v>
      </c>
      <c r="F37" t="s">
        <v>369</v>
      </c>
      <c r="G37" t="s">
        <v>391</v>
      </c>
    </row>
    <row r="38" spans="1:7" x14ac:dyDescent="0.35">
      <c r="A38" t="s">
        <v>10</v>
      </c>
      <c r="B38" t="s">
        <v>11</v>
      </c>
      <c r="C38" t="s">
        <v>364</v>
      </c>
      <c r="D38" t="s">
        <v>145</v>
      </c>
      <c r="E38" t="s">
        <v>146</v>
      </c>
      <c r="F38" t="s">
        <v>369</v>
      </c>
      <c r="G38" t="s">
        <v>391</v>
      </c>
    </row>
    <row r="39" spans="1:7" x14ac:dyDescent="0.35">
      <c r="A39" t="s">
        <v>10</v>
      </c>
      <c r="B39" t="s">
        <v>11</v>
      </c>
      <c r="C39" t="s">
        <v>364</v>
      </c>
      <c r="D39" t="s">
        <v>148</v>
      </c>
      <c r="E39" t="s">
        <v>149</v>
      </c>
      <c r="F39" t="s">
        <v>369</v>
      </c>
      <c r="G39" t="s">
        <v>391</v>
      </c>
    </row>
    <row r="40" spans="1:7" x14ac:dyDescent="0.35">
      <c r="A40" t="s">
        <v>10</v>
      </c>
      <c r="B40" t="s">
        <v>11</v>
      </c>
      <c r="C40" t="s">
        <v>364</v>
      </c>
      <c r="D40" t="s">
        <v>165</v>
      </c>
      <c r="E40" t="s">
        <v>166</v>
      </c>
      <c r="F40" t="s">
        <v>369</v>
      </c>
      <c r="G40" t="s">
        <v>391</v>
      </c>
    </row>
    <row r="41" spans="1:7" x14ac:dyDescent="0.35">
      <c r="A41" t="s">
        <v>10</v>
      </c>
      <c r="B41" t="s">
        <v>11</v>
      </c>
      <c r="C41" t="s">
        <v>364</v>
      </c>
      <c r="D41" t="s">
        <v>168</v>
      </c>
      <c r="E41" t="s">
        <v>169</v>
      </c>
      <c r="F41" t="s">
        <v>369</v>
      </c>
      <c r="G41" t="s">
        <v>391</v>
      </c>
    </row>
    <row r="42" spans="1:7" x14ac:dyDescent="0.35">
      <c r="A42" t="s">
        <v>10</v>
      </c>
      <c r="B42" t="s">
        <v>11</v>
      </c>
      <c r="C42" t="s">
        <v>364</v>
      </c>
      <c r="D42" t="s">
        <v>171</v>
      </c>
      <c r="E42" t="s">
        <v>172</v>
      </c>
      <c r="F42" t="s">
        <v>369</v>
      </c>
      <c r="G42" t="s">
        <v>391</v>
      </c>
    </row>
    <row r="43" spans="1:7" x14ac:dyDescent="0.35">
      <c r="A43" t="s">
        <v>10</v>
      </c>
      <c r="B43" t="s">
        <v>11</v>
      </c>
      <c r="C43" t="s">
        <v>364</v>
      </c>
      <c r="D43" t="s">
        <v>174</v>
      </c>
      <c r="E43" t="s">
        <v>175</v>
      </c>
      <c r="F43" t="s">
        <v>369</v>
      </c>
      <c r="G43" t="s">
        <v>391</v>
      </c>
    </row>
    <row r="44" spans="1:7" x14ac:dyDescent="0.35">
      <c r="A44" t="s">
        <v>10</v>
      </c>
      <c r="B44" t="s">
        <v>11</v>
      </c>
      <c r="C44" t="s">
        <v>364</v>
      </c>
      <c r="D44" t="s">
        <v>180</v>
      </c>
      <c r="E44" t="s">
        <v>181</v>
      </c>
      <c r="F44" t="s">
        <v>369</v>
      </c>
      <c r="G44" t="s">
        <v>391</v>
      </c>
    </row>
    <row r="45" spans="1:7" x14ac:dyDescent="0.35">
      <c r="A45" t="s">
        <v>10</v>
      </c>
      <c r="B45" t="s">
        <v>11</v>
      </c>
      <c r="C45" t="s">
        <v>364</v>
      </c>
      <c r="D45" t="s">
        <v>337</v>
      </c>
      <c r="E45" t="s">
        <v>338</v>
      </c>
      <c r="F45" t="s">
        <v>369</v>
      </c>
      <c r="G45" t="s">
        <v>391</v>
      </c>
    </row>
    <row r="46" spans="1:7" x14ac:dyDescent="0.35">
      <c r="A46" t="s">
        <v>10</v>
      </c>
      <c r="B46" t="s">
        <v>11</v>
      </c>
      <c r="C46" t="s">
        <v>364</v>
      </c>
      <c r="D46" t="s">
        <v>183</v>
      </c>
      <c r="E46" t="s">
        <v>184</v>
      </c>
      <c r="F46" t="s">
        <v>369</v>
      </c>
      <c r="G46" t="s">
        <v>391</v>
      </c>
    </row>
    <row r="47" spans="1:7" x14ac:dyDescent="0.35">
      <c r="A47" t="s">
        <v>10</v>
      </c>
      <c r="B47" t="s">
        <v>11</v>
      </c>
      <c r="C47" t="s">
        <v>364</v>
      </c>
      <c r="D47" t="s">
        <v>187</v>
      </c>
      <c r="E47" t="s">
        <v>188</v>
      </c>
      <c r="F47" t="s">
        <v>369</v>
      </c>
      <c r="G47" t="s">
        <v>391</v>
      </c>
    </row>
    <row r="48" spans="1:7" x14ac:dyDescent="0.35">
      <c r="A48" t="s">
        <v>10</v>
      </c>
      <c r="B48" t="s">
        <v>11</v>
      </c>
      <c r="C48" t="s">
        <v>364</v>
      </c>
      <c r="D48" t="s">
        <v>193</v>
      </c>
      <c r="E48" t="s">
        <v>194</v>
      </c>
      <c r="F48" t="s">
        <v>369</v>
      </c>
      <c r="G48" t="s">
        <v>391</v>
      </c>
    </row>
    <row r="49" spans="1:7" x14ac:dyDescent="0.35">
      <c r="A49" t="s">
        <v>10</v>
      </c>
      <c r="B49" t="s">
        <v>11</v>
      </c>
      <c r="C49" t="s">
        <v>364</v>
      </c>
      <c r="D49" t="s">
        <v>212</v>
      </c>
      <c r="E49" t="s">
        <v>213</v>
      </c>
      <c r="F49" t="s">
        <v>369</v>
      </c>
      <c r="G49" t="s">
        <v>391</v>
      </c>
    </row>
    <row r="50" spans="1:7" x14ac:dyDescent="0.35">
      <c r="A50" t="s">
        <v>10</v>
      </c>
      <c r="B50" t="s">
        <v>11</v>
      </c>
      <c r="C50" t="s">
        <v>364</v>
      </c>
      <c r="D50" t="s">
        <v>201</v>
      </c>
      <c r="E50" t="s">
        <v>202</v>
      </c>
      <c r="F50" t="s">
        <v>369</v>
      </c>
      <c r="G50" t="s">
        <v>391</v>
      </c>
    </row>
    <row r="51" spans="1:7" x14ac:dyDescent="0.35">
      <c r="A51" t="s">
        <v>10</v>
      </c>
      <c r="B51" t="s">
        <v>11</v>
      </c>
      <c r="C51" t="s">
        <v>364</v>
      </c>
      <c r="D51" t="s">
        <v>223</v>
      </c>
      <c r="E51" t="s">
        <v>224</v>
      </c>
      <c r="F51" t="s">
        <v>369</v>
      </c>
      <c r="G51" t="s">
        <v>391</v>
      </c>
    </row>
    <row r="52" spans="1:7" x14ac:dyDescent="0.35">
      <c r="A52" t="s">
        <v>10</v>
      </c>
      <c r="B52" t="s">
        <v>11</v>
      </c>
      <c r="C52" t="s">
        <v>364</v>
      </c>
      <c r="D52" t="s">
        <v>226</v>
      </c>
      <c r="E52" t="s">
        <v>227</v>
      </c>
      <c r="F52" t="s">
        <v>369</v>
      </c>
      <c r="G52" t="s">
        <v>391</v>
      </c>
    </row>
    <row r="53" spans="1:7" x14ac:dyDescent="0.35">
      <c r="A53" t="s">
        <v>10</v>
      </c>
      <c r="B53" t="s">
        <v>11</v>
      </c>
      <c r="C53" t="s">
        <v>364</v>
      </c>
      <c r="D53" t="s">
        <v>232</v>
      </c>
      <c r="E53" t="s">
        <v>233</v>
      </c>
      <c r="F53" t="s">
        <v>369</v>
      </c>
      <c r="G53" t="s">
        <v>391</v>
      </c>
    </row>
    <row r="54" spans="1:7" x14ac:dyDescent="0.35">
      <c r="A54" t="s">
        <v>10</v>
      </c>
      <c r="B54" t="s">
        <v>11</v>
      </c>
      <c r="C54" t="s">
        <v>364</v>
      </c>
      <c r="D54" t="s">
        <v>246</v>
      </c>
      <c r="E54" t="s">
        <v>247</v>
      </c>
      <c r="F54" t="s">
        <v>369</v>
      </c>
      <c r="G54" t="s">
        <v>391</v>
      </c>
    </row>
    <row r="55" spans="1:7" x14ac:dyDescent="0.35">
      <c r="A55" t="s">
        <v>10</v>
      </c>
      <c r="B55" t="s">
        <v>11</v>
      </c>
      <c r="C55" t="s">
        <v>364</v>
      </c>
      <c r="D55" t="s">
        <v>249</v>
      </c>
      <c r="E55" t="s">
        <v>250</v>
      </c>
      <c r="F55" t="s">
        <v>369</v>
      </c>
      <c r="G55" t="s">
        <v>391</v>
      </c>
    </row>
    <row r="56" spans="1:7" x14ac:dyDescent="0.35">
      <c r="A56" t="s">
        <v>10</v>
      </c>
      <c r="B56" t="s">
        <v>11</v>
      </c>
      <c r="C56" t="s">
        <v>364</v>
      </c>
      <c r="D56" t="s">
        <v>343</v>
      </c>
      <c r="E56" t="s">
        <v>344</v>
      </c>
      <c r="F56" t="s">
        <v>369</v>
      </c>
      <c r="G56" t="s">
        <v>391</v>
      </c>
    </row>
    <row r="57" spans="1:7" x14ac:dyDescent="0.35">
      <c r="A57" t="s">
        <v>10</v>
      </c>
      <c r="B57" t="s">
        <v>11</v>
      </c>
      <c r="C57" t="s">
        <v>364</v>
      </c>
      <c r="D57" t="s">
        <v>252</v>
      </c>
      <c r="E57" t="s">
        <v>253</v>
      </c>
      <c r="F57" t="s">
        <v>369</v>
      </c>
      <c r="G57" t="s">
        <v>391</v>
      </c>
    </row>
    <row r="58" spans="1:7" x14ac:dyDescent="0.35">
      <c r="A58" t="s">
        <v>10</v>
      </c>
      <c r="B58" t="s">
        <v>11</v>
      </c>
      <c r="C58" t="s">
        <v>364</v>
      </c>
      <c r="D58" t="s">
        <v>260</v>
      </c>
      <c r="E58" t="s">
        <v>261</v>
      </c>
      <c r="F58" t="s">
        <v>369</v>
      </c>
      <c r="G58" t="s">
        <v>391</v>
      </c>
    </row>
    <row r="59" spans="1:7" x14ac:dyDescent="0.35">
      <c r="A59" t="s">
        <v>10</v>
      </c>
      <c r="B59" t="s">
        <v>11</v>
      </c>
      <c r="C59" t="s">
        <v>364</v>
      </c>
      <c r="D59" t="s">
        <v>255</v>
      </c>
      <c r="E59" t="s">
        <v>256</v>
      </c>
      <c r="F59" t="s">
        <v>369</v>
      </c>
      <c r="G59" t="s">
        <v>391</v>
      </c>
    </row>
    <row r="60" spans="1:7" x14ac:dyDescent="0.35">
      <c r="A60" t="s">
        <v>10</v>
      </c>
      <c r="B60" t="s">
        <v>11</v>
      </c>
      <c r="C60" t="s">
        <v>364</v>
      </c>
      <c r="D60" t="s">
        <v>272</v>
      </c>
      <c r="E60" t="s">
        <v>273</v>
      </c>
      <c r="F60" t="s">
        <v>369</v>
      </c>
      <c r="G60" t="s">
        <v>391</v>
      </c>
    </row>
    <row r="61" spans="1:7" x14ac:dyDescent="0.35">
      <c r="A61" t="s">
        <v>10</v>
      </c>
      <c r="B61" t="s">
        <v>11</v>
      </c>
      <c r="C61" t="s">
        <v>364</v>
      </c>
      <c r="D61" t="s">
        <v>295</v>
      </c>
      <c r="E61" t="s">
        <v>296</v>
      </c>
      <c r="F61" t="s">
        <v>369</v>
      </c>
      <c r="G61" t="s">
        <v>391</v>
      </c>
    </row>
    <row r="62" spans="1:7" x14ac:dyDescent="0.35">
      <c r="A62" t="s">
        <v>10</v>
      </c>
      <c r="B62" t="s">
        <v>11</v>
      </c>
      <c r="C62" t="s">
        <v>364</v>
      </c>
      <c r="D62" t="s">
        <v>298</v>
      </c>
      <c r="E62" t="s">
        <v>299</v>
      </c>
      <c r="F62" t="s">
        <v>369</v>
      </c>
      <c r="G62" t="s">
        <v>391</v>
      </c>
    </row>
    <row r="63" spans="1:7" x14ac:dyDescent="0.35">
      <c r="A63" t="s">
        <v>10</v>
      </c>
      <c r="B63" t="s">
        <v>11</v>
      </c>
      <c r="C63" t="s">
        <v>364</v>
      </c>
      <c r="D63" t="s">
        <v>315</v>
      </c>
      <c r="E63" t="s">
        <v>316</v>
      </c>
      <c r="F63" t="s">
        <v>369</v>
      </c>
      <c r="G63" t="s">
        <v>391</v>
      </c>
    </row>
    <row r="64" spans="1:7" x14ac:dyDescent="0.35">
      <c r="A64" t="s">
        <v>29</v>
      </c>
      <c r="B64" t="s">
        <v>30</v>
      </c>
      <c r="C64" t="s">
        <v>364</v>
      </c>
      <c r="D64" t="s">
        <v>31</v>
      </c>
      <c r="E64" t="s">
        <v>32</v>
      </c>
      <c r="F64" t="s">
        <v>365</v>
      </c>
      <c r="G64" t="s">
        <v>391</v>
      </c>
    </row>
    <row r="65" spans="1:7" x14ac:dyDescent="0.35">
      <c r="A65" t="s">
        <v>29</v>
      </c>
      <c r="B65" t="s">
        <v>30</v>
      </c>
      <c r="C65" t="s">
        <v>364</v>
      </c>
      <c r="D65" t="s">
        <v>334</v>
      </c>
      <c r="E65" t="s">
        <v>335</v>
      </c>
      <c r="F65" t="s">
        <v>365</v>
      </c>
      <c r="G65" t="s">
        <v>391</v>
      </c>
    </row>
    <row r="66" spans="1:7" x14ac:dyDescent="0.35">
      <c r="A66" t="s">
        <v>29</v>
      </c>
      <c r="B66" t="s">
        <v>30</v>
      </c>
      <c r="C66" t="s">
        <v>364</v>
      </c>
      <c r="D66" t="s">
        <v>57</v>
      </c>
      <c r="E66" t="s">
        <v>58</v>
      </c>
      <c r="F66" t="s">
        <v>365</v>
      </c>
      <c r="G66" t="s">
        <v>391</v>
      </c>
    </row>
    <row r="67" spans="1:7" x14ac:dyDescent="0.35">
      <c r="A67" t="s">
        <v>29</v>
      </c>
      <c r="B67" t="s">
        <v>30</v>
      </c>
      <c r="C67" t="s">
        <v>364</v>
      </c>
      <c r="D67" t="s">
        <v>64</v>
      </c>
      <c r="E67" t="s">
        <v>65</v>
      </c>
      <c r="F67" t="s">
        <v>365</v>
      </c>
      <c r="G67" t="s">
        <v>391</v>
      </c>
    </row>
    <row r="68" spans="1:7" x14ac:dyDescent="0.35">
      <c r="A68" t="s">
        <v>29</v>
      </c>
      <c r="B68" t="s">
        <v>30</v>
      </c>
      <c r="C68" t="s">
        <v>364</v>
      </c>
      <c r="D68" t="s">
        <v>78</v>
      </c>
      <c r="E68" t="s">
        <v>79</v>
      </c>
      <c r="F68" t="s">
        <v>365</v>
      </c>
      <c r="G68" t="s">
        <v>391</v>
      </c>
    </row>
    <row r="69" spans="1:7" x14ac:dyDescent="0.35">
      <c r="A69" t="s">
        <v>29</v>
      </c>
      <c r="B69" t="s">
        <v>30</v>
      </c>
      <c r="C69" t="s">
        <v>364</v>
      </c>
      <c r="D69" t="s">
        <v>142</v>
      </c>
      <c r="E69" t="s">
        <v>143</v>
      </c>
      <c r="F69" t="s">
        <v>365</v>
      </c>
      <c r="G69" t="s">
        <v>391</v>
      </c>
    </row>
    <row r="70" spans="1:7" x14ac:dyDescent="0.35">
      <c r="A70" t="s">
        <v>29</v>
      </c>
      <c r="B70" t="s">
        <v>30</v>
      </c>
      <c r="C70" t="s">
        <v>364</v>
      </c>
      <c r="D70" t="s">
        <v>292</v>
      </c>
      <c r="E70" t="s">
        <v>293</v>
      </c>
      <c r="F70" t="s">
        <v>365</v>
      </c>
      <c r="G70" t="s">
        <v>391</v>
      </c>
    </row>
    <row r="71" spans="1:7" x14ac:dyDescent="0.35">
      <c r="A71" t="s">
        <v>29</v>
      </c>
      <c r="B71" t="s">
        <v>30</v>
      </c>
      <c r="C71" t="s">
        <v>364</v>
      </c>
      <c r="D71" t="s">
        <v>306</v>
      </c>
      <c r="E71" t="s">
        <v>307</v>
      </c>
      <c r="F71" t="s">
        <v>365</v>
      </c>
      <c r="G71" t="s">
        <v>391</v>
      </c>
    </row>
    <row r="72" spans="1:7" x14ac:dyDescent="0.35">
      <c r="A72" t="s">
        <v>29</v>
      </c>
      <c r="B72" t="s">
        <v>30</v>
      </c>
      <c r="C72" t="s">
        <v>364</v>
      </c>
      <c r="D72" t="s">
        <v>318</v>
      </c>
      <c r="E72" t="s">
        <v>319</v>
      </c>
      <c r="F72" t="s">
        <v>365</v>
      </c>
      <c r="G72" t="s">
        <v>391</v>
      </c>
    </row>
    <row r="73" spans="1:7" x14ac:dyDescent="0.35">
      <c r="A73" t="s">
        <v>29</v>
      </c>
      <c r="B73" t="s">
        <v>30</v>
      </c>
      <c r="C73" t="s">
        <v>364</v>
      </c>
      <c r="D73" t="s">
        <v>331</v>
      </c>
      <c r="E73" t="s">
        <v>332</v>
      </c>
      <c r="F73" t="s">
        <v>365</v>
      </c>
      <c r="G73" t="s">
        <v>391</v>
      </c>
    </row>
    <row r="74" spans="1:7" x14ac:dyDescent="0.35">
      <c r="A74" t="s">
        <v>34</v>
      </c>
      <c r="B74" t="s">
        <v>35</v>
      </c>
      <c r="C74" t="s">
        <v>364</v>
      </c>
      <c r="D74" t="s">
        <v>112</v>
      </c>
      <c r="E74" t="s">
        <v>113</v>
      </c>
      <c r="F74" t="s">
        <v>365</v>
      </c>
      <c r="G74" t="s">
        <v>391</v>
      </c>
    </row>
    <row r="75" spans="1:7" x14ac:dyDescent="0.35">
      <c r="A75" t="s">
        <v>34</v>
      </c>
      <c r="B75" t="s">
        <v>35</v>
      </c>
      <c r="C75" t="s">
        <v>364</v>
      </c>
      <c r="D75" t="s">
        <v>36</v>
      </c>
      <c r="E75" t="s">
        <v>37</v>
      </c>
      <c r="F75" t="s">
        <v>365</v>
      </c>
      <c r="G75" t="s">
        <v>391</v>
      </c>
    </row>
    <row r="76" spans="1:7" x14ac:dyDescent="0.35">
      <c r="A76" t="s">
        <v>196</v>
      </c>
      <c r="B76" t="s">
        <v>197</v>
      </c>
      <c r="C76" t="s">
        <v>364</v>
      </c>
      <c r="D76" t="s">
        <v>198</v>
      </c>
      <c r="E76" t="s">
        <v>199</v>
      </c>
      <c r="F76" t="s">
        <v>365</v>
      </c>
      <c r="G76" t="s">
        <v>391</v>
      </c>
    </row>
    <row r="77" spans="1:7" x14ac:dyDescent="0.35">
      <c r="A77" t="s">
        <v>218</v>
      </c>
      <c r="B77" t="s">
        <v>219</v>
      </c>
      <c r="C77" t="s">
        <v>364</v>
      </c>
      <c r="D77" t="s">
        <v>220</v>
      </c>
      <c r="E77" t="s">
        <v>221</v>
      </c>
      <c r="F77" t="s">
        <v>365</v>
      </c>
      <c r="G77" t="s">
        <v>391</v>
      </c>
    </row>
    <row r="78" spans="1:7" x14ac:dyDescent="0.35">
      <c r="A78" t="s">
        <v>218</v>
      </c>
      <c r="B78" t="s">
        <v>219</v>
      </c>
      <c r="C78" t="s">
        <v>364</v>
      </c>
      <c r="D78" t="s">
        <v>325</v>
      </c>
      <c r="E78" t="s">
        <v>326</v>
      </c>
      <c r="F78" t="s">
        <v>365</v>
      </c>
      <c r="G78" t="s">
        <v>391</v>
      </c>
    </row>
    <row r="79" spans="1:7" x14ac:dyDescent="0.35">
      <c r="A79" t="s">
        <v>125</v>
      </c>
      <c r="B79" t="s">
        <v>126</v>
      </c>
      <c r="C79" t="s">
        <v>364</v>
      </c>
      <c r="D79" t="s">
        <v>127</v>
      </c>
      <c r="E79" t="s">
        <v>128</v>
      </c>
      <c r="F79" t="s">
        <v>365</v>
      </c>
      <c r="G79" t="s">
        <v>393</v>
      </c>
    </row>
    <row r="80" spans="1:7" x14ac:dyDescent="0.35">
      <c r="A80" t="s">
        <v>125</v>
      </c>
      <c r="B80" t="s">
        <v>126</v>
      </c>
      <c r="C80" t="s">
        <v>364</v>
      </c>
      <c r="D80" t="s">
        <v>89</v>
      </c>
      <c r="E80" t="s">
        <v>90</v>
      </c>
      <c r="F80" t="s">
        <v>365</v>
      </c>
      <c r="G80" t="s">
        <v>393</v>
      </c>
    </row>
    <row r="81" spans="1:7" x14ac:dyDescent="0.35">
      <c r="A81" t="s">
        <v>125</v>
      </c>
      <c r="B81" t="s">
        <v>126</v>
      </c>
      <c r="C81" t="s">
        <v>364</v>
      </c>
      <c r="D81" t="s">
        <v>278</v>
      </c>
      <c r="E81" t="s">
        <v>279</v>
      </c>
      <c r="F81" t="s">
        <v>365</v>
      </c>
      <c r="G81" t="s">
        <v>393</v>
      </c>
    </row>
    <row r="82" spans="1:7" x14ac:dyDescent="0.35">
      <c r="A82" t="s">
        <v>125</v>
      </c>
      <c r="B82" t="s">
        <v>126</v>
      </c>
      <c r="C82" t="s">
        <v>364</v>
      </c>
      <c r="D82" t="s">
        <v>281</v>
      </c>
      <c r="E82" t="s">
        <v>282</v>
      </c>
      <c r="F82" t="s">
        <v>365</v>
      </c>
      <c r="G82" t="s">
        <v>393</v>
      </c>
    </row>
    <row r="83" spans="1:7" x14ac:dyDescent="0.35">
      <c r="A83" t="s">
        <v>87</v>
      </c>
      <c r="B83" t="s">
        <v>88</v>
      </c>
      <c r="C83" t="s">
        <v>364</v>
      </c>
      <c r="D83" t="s">
        <v>309</v>
      </c>
      <c r="E83" t="s">
        <v>310</v>
      </c>
      <c r="F83" t="s">
        <v>365</v>
      </c>
      <c r="G83" t="s">
        <v>391</v>
      </c>
    </row>
    <row r="84" spans="1:7" x14ac:dyDescent="0.35">
      <c r="A84" t="s">
        <v>87</v>
      </c>
      <c r="B84" t="s">
        <v>88</v>
      </c>
      <c r="C84" t="s">
        <v>364</v>
      </c>
      <c r="D84" t="s">
        <v>312</v>
      </c>
      <c r="E84" t="s">
        <v>313</v>
      </c>
      <c r="F84" t="s">
        <v>365</v>
      </c>
      <c r="G84" t="s">
        <v>391</v>
      </c>
    </row>
    <row r="85" spans="1:7" x14ac:dyDescent="0.35">
      <c r="A85" t="s">
        <v>87</v>
      </c>
      <c r="B85" t="s">
        <v>88</v>
      </c>
      <c r="C85" t="s">
        <v>364</v>
      </c>
      <c r="D85" t="s">
        <v>91</v>
      </c>
      <c r="E85" t="s">
        <v>92</v>
      </c>
      <c r="F85" t="s">
        <v>369</v>
      </c>
      <c r="G85" t="s">
        <v>391</v>
      </c>
    </row>
    <row r="86" spans="1:7" x14ac:dyDescent="0.35">
      <c r="A86" t="s">
        <v>287</v>
      </c>
      <c r="B86" t="s">
        <v>288</v>
      </c>
      <c r="C86" t="s">
        <v>364</v>
      </c>
      <c r="D86" t="s">
        <v>289</v>
      </c>
      <c r="E86" t="s">
        <v>290</v>
      </c>
      <c r="F86" t="s">
        <v>365</v>
      </c>
      <c r="G86" t="s">
        <v>392</v>
      </c>
    </row>
    <row r="87" spans="1:7" x14ac:dyDescent="0.35">
      <c r="A87" t="s">
        <v>287</v>
      </c>
      <c r="B87" t="s">
        <v>288</v>
      </c>
      <c r="C87" t="s">
        <v>364</v>
      </c>
      <c r="D87" t="s">
        <v>321</v>
      </c>
      <c r="E87" t="s">
        <v>322</v>
      </c>
      <c r="F87" t="s">
        <v>365</v>
      </c>
      <c r="G87" t="s">
        <v>392</v>
      </c>
    </row>
    <row r="88" spans="1:7" x14ac:dyDescent="0.35">
      <c r="A88" t="str">
        <f>_xlfn.XLOOKUP($D88,All_Photoquad_codes_HeirarchyTr!$G$2:$G$111,All_Photoquad_codes_HeirarchyTr!E$2:E$111)</f>
        <v>ACSP</v>
      </c>
      <c r="B88" t="str">
        <f>_xlfn.XLOOKUP($D88,All_Photoquad_codes_HeirarchyTr!$G$2:$G$111,All_Photoquad_codes_HeirarchyTr!F$2:F$111)</f>
        <v>Acropora sp</v>
      </c>
      <c r="C88" t="s">
        <v>365</v>
      </c>
      <c r="D88" t="s">
        <v>21</v>
      </c>
      <c r="E88" t="s">
        <v>22</v>
      </c>
      <c r="F88" t="s">
        <v>370</v>
      </c>
      <c r="G88" t="s">
        <v>394</v>
      </c>
    </row>
    <row r="89" spans="1:7" x14ac:dyDescent="0.35">
      <c r="A89" t="str">
        <f>_xlfn.XLOOKUP($D89,All_Photoquad_codes_HeirarchyTr!$G$2:$G$111,All_Photoquad_codes_HeirarchyTr!E$2:E$111)</f>
        <v>ACSP</v>
      </c>
      <c r="B89" t="str">
        <f>_xlfn.XLOOKUP($D89,All_Photoquad_codes_HeirarchyTr!$G$2:$G$111,All_Photoquad_codes_HeirarchyTr!F$2:F$111)</f>
        <v>Acropora sp</v>
      </c>
      <c r="C89" t="s">
        <v>365</v>
      </c>
      <c r="D89" t="s">
        <v>26</v>
      </c>
      <c r="E89" t="s">
        <v>27</v>
      </c>
      <c r="F89" t="s">
        <v>370</v>
      </c>
      <c r="G89" t="s">
        <v>394</v>
      </c>
    </row>
    <row r="90" spans="1:7" x14ac:dyDescent="0.35">
      <c r="A90" t="str">
        <f>_xlfn.XLOOKUP($D90,All_Photoquad_codes_HeirarchyTr!$G$2:$G$111,All_Photoquad_codes_HeirarchyTr!C$2:C$111)</f>
        <v>BR</v>
      </c>
      <c r="B90" t="str">
        <f>_xlfn.XLOOKUP($D90,All_Photoquad_codes_HeirarchyTr!$G$2:$G$111,All_Photoquad_codes_HeirarchyTr!D$2:D$111)</f>
        <v>Branching hard coral</v>
      </c>
      <c r="C90" t="s">
        <v>365</v>
      </c>
      <c r="D90" t="s">
        <v>21</v>
      </c>
      <c r="E90" t="s">
        <v>22</v>
      </c>
      <c r="F90" t="s">
        <v>370</v>
      </c>
      <c r="G90" t="s">
        <v>395</v>
      </c>
    </row>
    <row r="91" spans="1:7" x14ac:dyDescent="0.35">
      <c r="A91" t="str">
        <f>_xlfn.XLOOKUP($D91,All_Photoquad_codes_HeirarchyTr!$G$2:$G$111,All_Photoquad_codes_HeirarchyTr!C$2:C$111)</f>
        <v>BR</v>
      </c>
      <c r="B91" t="str">
        <f>_xlfn.XLOOKUP($D91,All_Photoquad_codes_HeirarchyTr!$G$2:$G$111,All_Photoquad_codes_HeirarchyTr!D$2:D$111)</f>
        <v>Branching hard coral</v>
      </c>
      <c r="C91" t="s">
        <v>365</v>
      </c>
      <c r="D91" t="s">
        <v>203</v>
      </c>
      <c r="E91" t="s">
        <v>204</v>
      </c>
      <c r="F91" t="s">
        <v>370</v>
      </c>
      <c r="G91" t="s">
        <v>395</v>
      </c>
    </row>
    <row r="92" spans="1:7" x14ac:dyDescent="0.35">
      <c r="A92" t="str">
        <f>_xlfn.XLOOKUP($D92,All_Photoquad_codes_HeirarchyTr!$G$2:$G$111,All_Photoquad_codes_HeirarchyTr!C$2:C$111)</f>
        <v>BR</v>
      </c>
      <c r="B92" t="str">
        <f>_xlfn.XLOOKUP($D92,All_Photoquad_codes_HeirarchyTr!$G$2:$G$111,All_Photoquad_codes_HeirarchyTr!D$2:D$111)</f>
        <v>Branching hard coral</v>
      </c>
      <c r="C92" t="s">
        <v>365</v>
      </c>
      <c r="D92" t="s">
        <v>257</v>
      </c>
      <c r="E92" t="s">
        <v>258</v>
      </c>
      <c r="F92" t="s">
        <v>370</v>
      </c>
      <c r="G92" t="s">
        <v>395</v>
      </c>
    </row>
    <row r="93" spans="1:7" x14ac:dyDescent="0.35">
      <c r="A93" t="str">
        <f>_xlfn.XLOOKUP($D93,All_Photoquad_codes_HeirarchyTr!$G$2:$G$111,All_Photoquad_codes_HeirarchyTr!C$2:C$111)</f>
        <v>CORAL</v>
      </c>
      <c r="B93" t="str">
        <f>_xlfn.XLOOKUP($D93,All_Photoquad_codes_HeirarchyTr!$G$2:$G$111,All_Photoquad_codes_HeirarchyTr!D$2:D$111)</f>
        <v>Hard coral</v>
      </c>
      <c r="C93" t="s">
        <v>365</v>
      </c>
      <c r="D93" t="s">
        <v>341</v>
      </c>
      <c r="E93" t="s">
        <v>389</v>
      </c>
      <c r="F93" t="s">
        <v>370</v>
      </c>
      <c r="G93" t="s">
        <v>395</v>
      </c>
    </row>
    <row r="94" spans="1:7" x14ac:dyDescent="0.35">
      <c r="A94" t="str">
        <f>_xlfn.XLOOKUP($D94,All_Photoquad_codes_HeirarchyTr!$G$2:$G$111,All_Photoquad_codes_HeirarchyTr!C$2:C$111)</f>
        <v>CORAL</v>
      </c>
      <c r="B94" t="str">
        <f>_xlfn.XLOOKUP($D94,All_Photoquad_codes_HeirarchyTr!$G$2:$G$111,All_Photoquad_codes_HeirarchyTr!D$2:D$111)</f>
        <v>Hard coral</v>
      </c>
      <c r="C94" t="s">
        <v>365</v>
      </c>
      <c r="D94" t="s">
        <v>345</v>
      </c>
      <c r="E94" t="s">
        <v>390</v>
      </c>
      <c r="F94" t="s">
        <v>370</v>
      </c>
      <c r="G94" t="s">
        <v>395</v>
      </c>
    </row>
    <row r="95" spans="1:7" x14ac:dyDescent="0.35">
      <c r="A95" t="s">
        <v>112</v>
      </c>
      <c r="B95" t="s">
        <v>113</v>
      </c>
      <c r="C95" t="s">
        <v>365</v>
      </c>
      <c r="D95" t="s">
        <v>243</v>
      </c>
      <c r="E95" t="s">
        <v>244</v>
      </c>
      <c r="F95" t="s">
        <v>369</v>
      </c>
      <c r="G95" t="s">
        <v>391</v>
      </c>
    </row>
    <row r="96" spans="1:7" x14ac:dyDescent="0.35">
      <c r="A96" t="str">
        <f>_xlfn.XLOOKUP($D96,All_Photoquad_codes_HeirarchyTr!$G$2:$G$111,All_Photoquad_codes_HeirarchyTr!C$2:C$111)</f>
        <v>ENC</v>
      </c>
      <c r="B96" t="str">
        <f>_xlfn.XLOOKUP($D96,All_Photoquad_codes_HeirarchyTr!$G$2:$G$111,All_Photoquad_codes_HeirarchyTr!D$2:D$111)</f>
        <v>Encrusting hard coral</v>
      </c>
      <c r="C96" t="s">
        <v>365</v>
      </c>
      <c r="D96" t="s">
        <v>206</v>
      </c>
      <c r="E96" t="s">
        <v>207</v>
      </c>
      <c r="F96" t="s">
        <v>370</v>
      </c>
      <c r="G96" t="s">
        <v>395</v>
      </c>
    </row>
    <row r="97" spans="1:7" x14ac:dyDescent="0.35">
      <c r="A97" t="str">
        <f>_xlfn.XLOOKUP($D97,All_Photoquad_codes_HeirarchyTr!$G$2:$G$111,All_Photoquad_codes_HeirarchyTr!C$2:C$111)</f>
        <v>ENC</v>
      </c>
      <c r="B97" t="str">
        <f>_xlfn.XLOOKUP($D97,All_Photoquad_codes_HeirarchyTr!$G$2:$G$111,All_Photoquad_codes_HeirarchyTr!D$2:D$111)</f>
        <v>Encrusting hard coral</v>
      </c>
      <c r="C97" t="s">
        <v>365</v>
      </c>
      <c r="D97" t="s">
        <v>234</v>
      </c>
      <c r="E97" t="s">
        <v>235</v>
      </c>
      <c r="F97" t="s">
        <v>370</v>
      </c>
      <c r="G97" t="s">
        <v>395</v>
      </c>
    </row>
    <row r="98" spans="1:7" x14ac:dyDescent="0.35">
      <c r="A98" t="str">
        <f>_xlfn.XLOOKUP($D98,All_Photoquad_codes_HeirarchyTr!$G$2:$G$111,All_Photoquad_codes_HeirarchyTr!C$2:C$111)</f>
        <v>ENC</v>
      </c>
      <c r="B98" t="str">
        <f>_xlfn.XLOOKUP($D98,All_Photoquad_codes_HeirarchyTr!$G$2:$G$111,All_Photoquad_codes_HeirarchyTr!D$2:D$111)</f>
        <v>Encrusting hard coral</v>
      </c>
      <c r="C98" t="s">
        <v>365</v>
      </c>
      <c r="D98" t="s">
        <v>263</v>
      </c>
      <c r="E98" t="s">
        <v>264</v>
      </c>
      <c r="F98" t="s">
        <v>370</v>
      </c>
      <c r="G98" t="s">
        <v>395</v>
      </c>
    </row>
    <row r="99" spans="1:7" x14ac:dyDescent="0.35">
      <c r="A99" t="str">
        <f>_xlfn.XLOOKUP($D99,All_Photoquad_codes_HeirarchyTr!$G$2:$G$111,All_Photoquad_codes_HeirarchyTr!C$2:C$111)</f>
        <v>FOL</v>
      </c>
      <c r="B99" t="str">
        <f>_xlfn.XLOOKUP($D99,All_Photoquad_codes_HeirarchyTr!$G$2:$G$111,All_Photoquad_codes_HeirarchyTr!D$2:D$111)</f>
        <v>Foliose hard coral</v>
      </c>
      <c r="C99" t="s">
        <v>365</v>
      </c>
      <c r="D99" t="s">
        <v>209</v>
      </c>
      <c r="E99" t="s">
        <v>210</v>
      </c>
      <c r="F99" t="s">
        <v>370</v>
      </c>
      <c r="G99" t="s">
        <v>395</v>
      </c>
    </row>
    <row r="100" spans="1:7" x14ac:dyDescent="0.35">
      <c r="A100" t="str">
        <f>_xlfn.XLOOKUP($D100,All_Photoquad_codes_HeirarchyTr!$G$2:$G$111,All_Photoquad_codes_HeirarchyTr!C$2:C$111)</f>
        <v>FOL</v>
      </c>
      <c r="B100" t="str">
        <f>_xlfn.XLOOKUP($D100,All_Photoquad_codes_HeirarchyTr!$G$2:$G$111,All_Photoquad_codes_HeirarchyTr!D$2:D$111)</f>
        <v>Foliose hard coral</v>
      </c>
      <c r="C100" t="s">
        <v>365</v>
      </c>
      <c r="D100" t="s">
        <v>237</v>
      </c>
      <c r="E100" t="s">
        <v>238</v>
      </c>
      <c r="F100" t="s">
        <v>370</v>
      </c>
      <c r="G100" t="s">
        <v>395</v>
      </c>
    </row>
    <row r="101" spans="1:7" x14ac:dyDescent="0.35">
      <c r="A101" t="str">
        <f>_xlfn.XLOOKUP($D101,All_Photoquad_codes_HeirarchyTr!$G$2:$G$111,All_Photoquad_codes_HeirarchyTr!C$2:C$111)</f>
        <v>FOL</v>
      </c>
      <c r="B101" t="str">
        <f>_xlfn.XLOOKUP($D101,All_Photoquad_codes_HeirarchyTr!$G$2:$G$111,All_Photoquad_codes_HeirarchyTr!D$2:D$111)</f>
        <v>Foliose hard coral</v>
      </c>
      <c r="C101" t="s">
        <v>365</v>
      </c>
      <c r="D101" t="s">
        <v>266</v>
      </c>
      <c r="E101" t="s">
        <v>267</v>
      </c>
      <c r="F101" t="s">
        <v>370</v>
      </c>
      <c r="G101" t="s">
        <v>395</v>
      </c>
    </row>
    <row r="102" spans="1:7" x14ac:dyDescent="0.35">
      <c r="A102" t="str">
        <f>_xlfn.XLOOKUP($D102,All_Photoquad_codes_HeirarchyTr!$G$2:$G$111,All_Photoquad_codes_HeirarchyTr!C$2:C$111)</f>
        <v>MASS</v>
      </c>
      <c r="B102" t="str">
        <f>_xlfn.XLOOKUP($D102,All_Photoquad_codes_HeirarchyTr!$G$2:$G$111,All_Photoquad_codes_HeirarchyTr!D$2:D$111)</f>
        <v>Massive hard coral</v>
      </c>
      <c r="C102" t="s">
        <v>365</v>
      </c>
      <c r="D102" t="s">
        <v>240</v>
      </c>
      <c r="E102" t="s">
        <v>241</v>
      </c>
      <c r="F102" t="s">
        <v>370</v>
      </c>
      <c r="G102" t="s">
        <v>395</v>
      </c>
    </row>
    <row r="103" spans="1:7" x14ac:dyDescent="0.35">
      <c r="A103" t="str">
        <f>_xlfn.XLOOKUP($D103,All_Photoquad_codes_HeirarchyTr!$G$2:$G$111,All_Photoquad_codes_HeirarchyTr!C$2:C$111)</f>
        <v>MASS</v>
      </c>
      <c r="B103" t="str">
        <f>_xlfn.XLOOKUP($D103,All_Photoquad_codes_HeirarchyTr!$G$2:$G$111,All_Photoquad_codes_HeirarchyTr!D$2:D$111)</f>
        <v>Massive hard coral</v>
      </c>
      <c r="C103" t="s">
        <v>365</v>
      </c>
      <c r="D103" t="s">
        <v>269</v>
      </c>
      <c r="E103" t="s">
        <v>270</v>
      </c>
      <c r="F103" t="s">
        <v>370</v>
      </c>
      <c r="G103" t="s">
        <v>395</v>
      </c>
    </row>
    <row r="104" spans="1:7" x14ac:dyDescent="0.35">
      <c r="A104" t="str">
        <f>_xlfn.XLOOKUP($D104,All_Photoquad_codes_HeirarchyTr!$G$2:$G$111,All_Photoquad_codes_HeirarchyTr!E$2:E$111)</f>
        <v>MOSP</v>
      </c>
      <c r="B104" t="str">
        <f>_xlfn.XLOOKUP($D104,All_Photoquad_codes_HeirarchyTr!$G$2:$G$111,All_Photoquad_codes_HeirarchyTr!F$2:F$111)</f>
        <v>Montipora sp</v>
      </c>
      <c r="C104" t="s">
        <v>365</v>
      </c>
      <c r="D104" t="s">
        <v>203</v>
      </c>
      <c r="E104" t="s">
        <v>204</v>
      </c>
      <c r="F104" t="s">
        <v>370</v>
      </c>
      <c r="G104" t="s">
        <v>394</v>
      </c>
    </row>
    <row r="105" spans="1:7" x14ac:dyDescent="0.35">
      <c r="A105" t="str">
        <f>_xlfn.XLOOKUP($D105,All_Photoquad_codes_HeirarchyTr!$G$2:$G$111,All_Photoquad_codes_HeirarchyTr!E$2:E$111)</f>
        <v>MOSP</v>
      </c>
      <c r="B105" t="str">
        <f>_xlfn.XLOOKUP($D105,All_Photoquad_codes_HeirarchyTr!$G$2:$G$111,All_Photoquad_codes_HeirarchyTr!F$2:F$111)</f>
        <v>Montipora sp</v>
      </c>
      <c r="C105" t="s">
        <v>365</v>
      </c>
      <c r="D105" t="s">
        <v>206</v>
      </c>
      <c r="E105" t="s">
        <v>207</v>
      </c>
      <c r="F105" t="s">
        <v>370</v>
      </c>
      <c r="G105" t="s">
        <v>394</v>
      </c>
    </row>
    <row r="106" spans="1:7" x14ac:dyDescent="0.35">
      <c r="A106" t="str">
        <f>_xlfn.XLOOKUP($D106,All_Photoquad_codes_HeirarchyTr!$G$2:$G$111,All_Photoquad_codes_HeirarchyTr!E$2:E$111)</f>
        <v>MOSP</v>
      </c>
      <c r="B106" t="str">
        <f>_xlfn.XLOOKUP($D106,All_Photoquad_codes_HeirarchyTr!$G$2:$G$111,All_Photoquad_codes_HeirarchyTr!F$2:F$111)</f>
        <v>Montipora sp</v>
      </c>
      <c r="C106" t="s">
        <v>365</v>
      </c>
      <c r="D106" t="s">
        <v>209</v>
      </c>
      <c r="E106" t="s">
        <v>210</v>
      </c>
      <c r="F106" t="s">
        <v>370</v>
      </c>
      <c r="G106" t="s">
        <v>394</v>
      </c>
    </row>
    <row r="107" spans="1:7" x14ac:dyDescent="0.35">
      <c r="A107" t="str">
        <f>_xlfn.XLOOKUP($D107,All_Photoquad_codes_HeirarchyTr!$G$2:$G$111,All_Photoquad_codes_HeirarchyTr!E$2:E$111)</f>
        <v>MOSP</v>
      </c>
      <c r="B107" t="str">
        <f>_xlfn.XLOOKUP($D107,All_Photoquad_codes_HeirarchyTr!$G$2:$G$111,All_Photoquad_codes_HeirarchyTr!F$2:F$111)</f>
        <v>Montipora sp</v>
      </c>
      <c r="C107" t="s">
        <v>365</v>
      </c>
      <c r="D107" t="s">
        <v>341</v>
      </c>
      <c r="E107" t="s">
        <v>389</v>
      </c>
      <c r="F107" t="s">
        <v>370</v>
      </c>
      <c r="G107" t="s">
        <v>394</v>
      </c>
    </row>
    <row r="108" spans="1:7" x14ac:dyDescent="0.35">
      <c r="A108" t="s">
        <v>157</v>
      </c>
      <c r="B108" t="s">
        <v>158</v>
      </c>
      <c r="C108" t="s">
        <v>365</v>
      </c>
      <c r="D108" t="s">
        <v>159</v>
      </c>
      <c r="E108" t="s">
        <v>160</v>
      </c>
      <c r="F108" t="s">
        <v>369</v>
      </c>
      <c r="G108" t="s">
        <v>391</v>
      </c>
    </row>
    <row r="109" spans="1:7" x14ac:dyDescent="0.35">
      <c r="A109" t="s">
        <v>157</v>
      </c>
      <c r="B109" t="s">
        <v>158</v>
      </c>
      <c r="C109" t="s">
        <v>365</v>
      </c>
      <c r="D109" t="s">
        <v>162</v>
      </c>
      <c r="E109" t="s">
        <v>163</v>
      </c>
      <c r="F109" t="s">
        <v>369</v>
      </c>
      <c r="G109" t="s">
        <v>391</v>
      </c>
    </row>
    <row r="110" spans="1:7" x14ac:dyDescent="0.35">
      <c r="A110" t="str">
        <f>_xlfn.XLOOKUP($D110,All_Photoquad_codes_HeirarchyTr!$G$2:$G$111,All_Photoquad_codes_HeirarchyTr!E$2:E$111)</f>
        <v>PAVS</v>
      </c>
      <c r="B110" t="str">
        <f>_xlfn.XLOOKUP($D110,All_Photoquad_codes_HeirarchyTr!$G$2:$G$111,All_Photoquad_codes_HeirarchyTr!F$2:F$111)</f>
        <v>Pavona sp</v>
      </c>
      <c r="C110" t="s">
        <v>365</v>
      </c>
      <c r="D110" t="s">
        <v>234</v>
      </c>
      <c r="E110" t="s">
        <v>235</v>
      </c>
      <c r="F110" t="s">
        <v>370</v>
      </c>
      <c r="G110" t="s">
        <v>394</v>
      </c>
    </row>
    <row r="111" spans="1:7" x14ac:dyDescent="0.35">
      <c r="A111" t="str">
        <f>_xlfn.XLOOKUP($D111,All_Photoquad_codes_HeirarchyTr!$G$2:$G$111,All_Photoquad_codes_HeirarchyTr!E$2:E$111)</f>
        <v>PAVS</v>
      </c>
      <c r="B111" t="str">
        <f>_xlfn.XLOOKUP($D111,All_Photoquad_codes_HeirarchyTr!$G$2:$G$111,All_Photoquad_codes_HeirarchyTr!F$2:F$111)</f>
        <v>Pavona sp</v>
      </c>
      <c r="C111" t="s">
        <v>365</v>
      </c>
      <c r="D111" t="s">
        <v>237</v>
      </c>
      <c r="E111" t="s">
        <v>238</v>
      </c>
      <c r="F111" t="s">
        <v>370</v>
      </c>
      <c r="G111" t="s">
        <v>394</v>
      </c>
    </row>
    <row r="112" spans="1:7" x14ac:dyDescent="0.35">
      <c r="A112" t="str">
        <f>_xlfn.XLOOKUP($D112,All_Photoquad_codes_HeirarchyTr!$G$2:$G$111,All_Photoquad_codes_HeirarchyTr!E$2:E$111)</f>
        <v>PAVS</v>
      </c>
      <c r="B112" t="str">
        <f>_xlfn.XLOOKUP($D112,All_Photoquad_codes_HeirarchyTr!$G$2:$G$111,All_Photoquad_codes_HeirarchyTr!F$2:F$111)</f>
        <v>Pavona sp</v>
      </c>
      <c r="C112" t="s">
        <v>365</v>
      </c>
      <c r="D112" t="s">
        <v>240</v>
      </c>
      <c r="E112" t="s">
        <v>241</v>
      </c>
      <c r="F112" t="s">
        <v>370</v>
      </c>
      <c r="G112" t="s">
        <v>394</v>
      </c>
    </row>
    <row r="113" spans="1:7" x14ac:dyDescent="0.35">
      <c r="A113" t="str">
        <f>_xlfn.XLOOKUP($D113,All_Photoquad_codes_HeirarchyTr!$G$2:$G$111,All_Photoquad_codes_HeirarchyTr!E$2:E$111)</f>
        <v>POSP</v>
      </c>
      <c r="B113" t="str">
        <f>_xlfn.XLOOKUP($D113,All_Photoquad_codes_HeirarchyTr!$G$2:$G$111,All_Photoquad_codes_HeirarchyTr!F$2:F$111)</f>
        <v>Porites sp</v>
      </c>
      <c r="C113" t="s">
        <v>365</v>
      </c>
      <c r="D113" t="s">
        <v>257</v>
      </c>
      <c r="E113" t="s">
        <v>258</v>
      </c>
      <c r="F113" t="s">
        <v>370</v>
      </c>
      <c r="G113" t="s">
        <v>394</v>
      </c>
    </row>
    <row r="114" spans="1:7" x14ac:dyDescent="0.35">
      <c r="A114" t="str">
        <f>_xlfn.XLOOKUP($D114,All_Photoquad_codes_HeirarchyTr!$G$2:$G$111,All_Photoquad_codes_HeirarchyTr!E$2:E$111)</f>
        <v>POSP</v>
      </c>
      <c r="B114" t="str">
        <f>_xlfn.XLOOKUP($D114,All_Photoquad_codes_HeirarchyTr!$G$2:$G$111,All_Photoquad_codes_HeirarchyTr!F$2:F$111)</f>
        <v>Porites sp</v>
      </c>
      <c r="C114" t="s">
        <v>365</v>
      </c>
      <c r="D114" t="s">
        <v>263</v>
      </c>
      <c r="E114" t="s">
        <v>264</v>
      </c>
      <c r="F114" t="s">
        <v>370</v>
      </c>
      <c r="G114" t="s">
        <v>394</v>
      </c>
    </row>
    <row r="115" spans="1:7" x14ac:dyDescent="0.35">
      <c r="A115" t="str">
        <f>_xlfn.XLOOKUP($D115,All_Photoquad_codes_HeirarchyTr!$G$2:$G$111,All_Photoquad_codes_HeirarchyTr!E$2:E$111)</f>
        <v>POSP</v>
      </c>
      <c r="B115" t="str">
        <f>_xlfn.XLOOKUP($D115,All_Photoquad_codes_HeirarchyTr!$G$2:$G$111,All_Photoquad_codes_HeirarchyTr!F$2:F$111)</f>
        <v>Porites sp</v>
      </c>
      <c r="C115" t="s">
        <v>365</v>
      </c>
      <c r="D115" t="s">
        <v>266</v>
      </c>
      <c r="E115" t="s">
        <v>267</v>
      </c>
      <c r="F115" t="s">
        <v>370</v>
      </c>
      <c r="G115" t="s">
        <v>394</v>
      </c>
    </row>
    <row r="116" spans="1:7" x14ac:dyDescent="0.35">
      <c r="A116" t="str">
        <f>_xlfn.XLOOKUP($D116,All_Photoquad_codes_HeirarchyTr!$G$2:$G$111,All_Photoquad_codes_HeirarchyTr!E$2:E$111)</f>
        <v>POSP</v>
      </c>
      <c r="B116" t="str">
        <f>_xlfn.XLOOKUP($D116,All_Photoquad_codes_HeirarchyTr!$G$2:$G$111,All_Photoquad_codes_HeirarchyTr!F$2:F$111)</f>
        <v>Porites sp</v>
      </c>
      <c r="C116" t="s">
        <v>365</v>
      </c>
      <c r="D116" t="s">
        <v>269</v>
      </c>
      <c r="E116" t="s">
        <v>270</v>
      </c>
      <c r="F116" t="s">
        <v>370</v>
      </c>
      <c r="G116" t="s">
        <v>394</v>
      </c>
    </row>
    <row r="117" spans="1:7" x14ac:dyDescent="0.35">
      <c r="A117" t="str">
        <f>_xlfn.XLOOKUP($D117,All_Photoquad_codes_HeirarchyTr!$G$2:$G$111,All_Photoquad_codes_HeirarchyTr!E$2:E$111)</f>
        <v>POSP</v>
      </c>
      <c r="B117" t="str">
        <f>_xlfn.XLOOKUP($D117,All_Photoquad_codes_HeirarchyTr!$G$2:$G$111,All_Photoquad_codes_HeirarchyTr!F$2:F$111)</f>
        <v>Porites sp</v>
      </c>
      <c r="C117" t="s">
        <v>365</v>
      </c>
      <c r="D117" t="s">
        <v>345</v>
      </c>
      <c r="E117" t="s">
        <v>390</v>
      </c>
      <c r="F117" t="s">
        <v>370</v>
      </c>
      <c r="G117" t="s">
        <v>394</v>
      </c>
    </row>
    <row r="118" spans="1:7" x14ac:dyDescent="0.35">
      <c r="A118" t="str">
        <f>_xlfn.XLOOKUP($D118,All_Photoquad_codes_HeirarchyTr!$G$2:$G$111,All_Photoquad_codes_HeirarchyTr!C$2:C$111)</f>
        <v>TAB</v>
      </c>
      <c r="B118" t="str">
        <f>_xlfn.XLOOKUP($D118,All_Photoquad_codes_HeirarchyTr!$G$2:$G$111,All_Photoquad_codes_HeirarchyTr!D$2:D$111)</f>
        <v>Tabulate hard coral</v>
      </c>
      <c r="C118" t="s">
        <v>365</v>
      </c>
      <c r="D118" t="s">
        <v>26</v>
      </c>
      <c r="E118" t="s">
        <v>27</v>
      </c>
      <c r="F118" t="s">
        <v>370</v>
      </c>
      <c r="G118" t="s">
        <v>395</v>
      </c>
    </row>
    <row r="119" spans="1:7" x14ac:dyDescent="0.35">
      <c r="A119" t="s">
        <v>36</v>
      </c>
      <c r="B119" t="s">
        <v>37</v>
      </c>
      <c r="C119" t="s">
        <v>365</v>
      </c>
      <c r="D119" t="s">
        <v>38</v>
      </c>
      <c r="E119" t="s">
        <v>39</v>
      </c>
      <c r="F119" t="s">
        <v>369</v>
      </c>
      <c r="G119" t="s">
        <v>391</v>
      </c>
    </row>
    <row r="120" spans="1:7" x14ac:dyDescent="0.35">
      <c r="A120" t="s">
        <v>36</v>
      </c>
      <c r="B120" t="s">
        <v>37</v>
      </c>
      <c r="C120" t="s">
        <v>365</v>
      </c>
      <c r="D120" t="s">
        <v>54</v>
      </c>
      <c r="E120" t="s">
        <v>55</v>
      </c>
      <c r="F120" t="s">
        <v>369</v>
      </c>
      <c r="G120" t="s">
        <v>391</v>
      </c>
    </row>
    <row r="121" spans="1:7" x14ac:dyDescent="0.35">
      <c r="A121" t="s">
        <v>36</v>
      </c>
      <c r="B121" t="s">
        <v>37</v>
      </c>
      <c r="C121" t="s">
        <v>365</v>
      </c>
      <c r="D121" t="s">
        <v>61</v>
      </c>
      <c r="E121" t="s">
        <v>62</v>
      </c>
      <c r="F121" t="s">
        <v>369</v>
      </c>
      <c r="G121" t="s">
        <v>391</v>
      </c>
    </row>
    <row r="122" spans="1:7" x14ac:dyDescent="0.35">
      <c r="A122" t="s">
        <v>36</v>
      </c>
      <c r="B122" t="s">
        <v>37</v>
      </c>
      <c r="C122" t="s">
        <v>365</v>
      </c>
      <c r="D122" t="s">
        <v>100</v>
      </c>
      <c r="E122" t="s">
        <v>101</v>
      </c>
      <c r="F122" t="s">
        <v>369</v>
      </c>
      <c r="G122" t="s">
        <v>391</v>
      </c>
    </row>
    <row r="123" spans="1:7" x14ac:dyDescent="0.35">
      <c r="A123" t="s">
        <v>36</v>
      </c>
      <c r="B123" t="s">
        <v>37</v>
      </c>
      <c r="C123" t="s">
        <v>365</v>
      </c>
      <c r="D123" t="s">
        <v>49</v>
      </c>
      <c r="E123" t="s">
        <v>50</v>
      </c>
      <c r="F123" t="s">
        <v>369</v>
      </c>
      <c r="G123" t="s">
        <v>391</v>
      </c>
    </row>
    <row r="124" spans="1:7" x14ac:dyDescent="0.35">
      <c r="A124" t="s">
        <v>36</v>
      </c>
      <c r="B124" t="s">
        <v>37</v>
      </c>
      <c r="C124" t="s">
        <v>365</v>
      </c>
      <c r="D124" t="s">
        <v>153</v>
      </c>
      <c r="E124" t="s">
        <v>154</v>
      </c>
      <c r="F124" t="s">
        <v>369</v>
      </c>
      <c r="G124" t="s">
        <v>391</v>
      </c>
    </row>
    <row r="125" spans="1:7" x14ac:dyDescent="0.35">
      <c r="A125" t="s">
        <v>36</v>
      </c>
      <c r="B125" t="s">
        <v>37</v>
      </c>
      <c r="C125" t="s">
        <v>365</v>
      </c>
      <c r="D125" t="s">
        <v>177</v>
      </c>
      <c r="E125" t="s">
        <v>178</v>
      </c>
      <c r="F125" t="s">
        <v>369</v>
      </c>
      <c r="G125" t="s">
        <v>391</v>
      </c>
    </row>
    <row r="126" spans="1:7" x14ac:dyDescent="0.35">
      <c r="A126" t="s">
        <v>36</v>
      </c>
      <c r="B126" t="s">
        <v>37</v>
      </c>
      <c r="C126" t="s">
        <v>365</v>
      </c>
      <c r="D126" t="s">
        <v>190</v>
      </c>
      <c r="E126" t="s">
        <v>191</v>
      </c>
      <c r="F126" t="s">
        <v>369</v>
      </c>
      <c r="G126" t="s">
        <v>391</v>
      </c>
    </row>
    <row r="127" spans="1:7" x14ac:dyDescent="0.35">
      <c r="A127" t="s">
        <v>36</v>
      </c>
      <c r="B127" t="s">
        <v>37</v>
      </c>
      <c r="C127" t="s">
        <v>365</v>
      </c>
      <c r="D127" t="s">
        <v>229</v>
      </c>
      <c r="E127" t="s">
        <v>230</v>
      </c>
      <c r="F127" t="s">
        <v>369</v>
      </c>
      <c r="G127" t="s">
        <v>391</v>
      </c>
    </row>
    <row r="128" spans="1:7" x14ac:dyDescent="0.35">
      <c r="A128" t="s">
        <v>36</v>
      </c>
      <c r="B128" t="s">
        <v>37</v>
      </c>
      <c r="C128" t="s">
        <v>365</v>
      </c>
      <c r="D128" t="s">
        <v>275</v>
      </c>
      <c r="E128" t="s">
        <v>276</v>
      </c>
      <c r="F128" t="s">
        <v>369</v>
      </c>
      <c r="G128" t="s">
        <v>391</v>
      </c>
    </row>
    <row r="129" spans="1:7" x14ac:dyDescent="0.35">
      <c r="A129" t="s">
        <v>36</v>
      </c>
      <c r="B129" t="s">
        <v>37</v>
      </c>
      <c r="C129" t="s">
        <v>365</v>
      </c>
      <c r="D129" t="s">
        <v>284</v>
      </c>
      <c r="E129" t="s">
        <v>285</v>
      </c>
      <c r="F129" t="s">
        <v>369</v>
      </c>
      <c r="G129" t="s">
        <v>391</v>
      </c>
    </row>
    <row r="130" spans="1:7" x14ac:dyDescent="0.35">
      <c r="A130" t="s">
        <v>61</v>
      </c>
      <c r="B130" t="s">
        <v>62</v>
      </c>
      <c r="C130" t="s">
        <v>369</v>
      </c>
      <c r="D130" t="s">
        <v>97</v>
      </c>
      <c r="E130" t="s">
        <v>98</v>
      </c>
      <c r="F130" t="s">
        <v>370</v>
      </c>
      <c r="G130" t="s">
        <v>391</v>
      </c>
    </row>
    <row r="131" spans="1:7" x14ac:dyDescent="0.35">
      <c r="A131" t="s">
        <v>49</v>
      </c>
      <c r="B131" t="s">
        <v>50</v>
      </c>
      <c r="C131" t="s">
        <v>369</v>
      </c>
      <c r="D131" t="s">
        <v>51</v>
      </c>
      <c r="E131" t="s">
        <v>52</v>
      </c>
      <c r="F131" t="s">
        <v>370</v>
      </c>
      <c r="G131" t="s">
        <v>391</v>
      </c>
    </row>
    <row r="132" spans="1:7" x14ac:dyDescent="0.35">
      <c r="A132" t="s">
        <v>49</v>
      </c>
      <c r="B132" t="s">
        <v>151</v>
      </c>
      <c r="C132" t="s">
        <v>369</v>
      </c>
      <c r="D132" t="s">
        <v>347</v>
      </c>
      <c r="E132" t="s">
        <v>348</v>
      </c>
      <c r="F132" t="s">
        <v>370</v>
      </c>
      <c r="G132" t="s">
        <v>391</v>
      </c>
    </row>
    <row r="133" spans="1:7" x14ac:dyDescent="0.35">
      <c r="A133" t="s">
        <v>49</v>
      </c>
      <c r="B133" t="s">
        <v>50</v>
      </c>
      <c r="C133" t="s">
        <v>369</v>
      </c>
      <c r="D133" t="s">
        <v>67</v>
      </c>
      <c r="E133" t="s">
        <v>68</v>
      </c>
      <c r="F133" t="s">
        <v>370</v>
      </c>
      <c r="G133" t="s">
        <v>391</v>
      </c>
    </row>
    <row r="134" spans="1:7" x14ac:dyDescent="0.35">
      <c r="A134" t="s">
        <v>49</v>
      </c>
      <c r="B134" t="s">
        <v>151</v>
      </c>
      <c r="C134" t="s">
        <v>369</v>
      </c>
      <c r="D134" t="s">
        <v>349</v>
      </c>
      <c r="E134" t="s">
        <v>350</v>
      </c>
      <c r="F134" t="s">
        <v>370</v>
      </c>
      <c r="G134" t="s">
        <v>391</v>
      </c>
    </row>
    <row r="135" spans="1:7" x14ac:dyDescent="0.35">
      <c r="A135" t="s">
        <v>49</v>
      </c>
      <c r="B135" t="s">
        <v>151</v>
      </c>
      <c r="C135" t="s">
        <v>369</v>
      </c>
      <c r="D135" t="s">
        <v>215</v>
      </c>
      <c r="E135" t="s">
        <v>216</v>
      </c>
      <c r="F135" t="s">
        <v>370</v>
      </c>
      <c r="G135" t="s">
        <v>391</v>
      </c>
    </row>
    <row r="136" spans="1:7" x14ac:dyDescent="0.35">
      <c r="A136" t="s">
        <v>275</v>
      </c>
      <c r="B136" t="s">
        <v>276</v>
      </c>
      <c r="C136" t="s">
        <v>369</v>
      </c>
      <c r="D136" t="s">
        <v>351</v>
      </c>
      <c r="E136" t="s">
        <v>352</v>
      </c>
      <c r="F136" t="s">
        <v>370</v>
      </c>
      <c r="G136" t="s">
        <v>391</v>
      </c>
    </row>
    <row r="137" spans="1:7" x14ac:dyDescent="0.35">
      <c r="A137" t="s">
        <v>275</v>
      </c>
      <c r="B137" t="s">
        <v>276</v>
      </c>
      <c r="C137" t="s">
        <v>369</v>
      </c>
      <c r="D137" t="s">
        <v>353</v>
      </c>
      <c r="E137" t="s">
        <v>354</v>
      </c>
      <c r="F137" t="s">
        <v>370</v>
      </c>
      <c r="G137" t="s">
        <v>391</v>
      </c>
    </row>
    <row r="138" spans="1:7" x14ac:dyDescent="0.35">
      <c r="A138" t="s">
        <v>275</v>
      </c>
      <c r="B138" t="s">
        <v>276</v>
      </c>
      <c r="C138" t="s">
        <v>369</v>
      </c>
      <c r="D138" t="s">
        <v>357</v>
      </c>
      <c r="E138" t="s">
        <v>358</v>
      </c>
      <c r="F138" t="s">
        <v>370</v>
      </c>
      <c r="G138" t="s">
        <v>391</v>
      </c>
    </row>
    <row r="139" spans="1:7" x14ac:dyDescent="0.35">
      <c r="A139" t="s">
        <v>275</v>
      </c>
      <c r="B139" t="s">
        <v>276</v>
      </c>
      <c r="C139" t="s">
        <v>369</v>
      </c>
      <c r="D139" t="s">
        <v>355</v>
      </c>
      <c r="E139" t="s">
        <v>356</v>
      </c>
      <c r="F139" t="s">
        <v>370</v>
      </c>
      <c r="G139" t="s">
        <v>391</v>
      </c>
    </row>
  </sheetData>
  <sortState xmlns:xlrd2="http://schemas.microsoft.com/office/spreadsheetml/2017/richdata2" ref="A2:G139">
    <sortCondition ref="C5:C139"/>
    <sortCondition ref="A5:A139"/>
    <sortCondition ref="F5:F139"/>
    <sortCondition ref="D5:D1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workbookViewId="0">
      <selection activeCell="E21" sqref="E21"/>
    </sheetView>
  </sheetViews>
  <sheetFormatPr defaultRowHeight="14.5" x14ac:dyDescent="0.35"/>
  <cols>
    <col min="2" max="2" width="17.26953125" bestFit="1" customWidth="1"/>
    <col min="6" max="6" width="27.6328125" bestFit="1" customWidth="1"/>
    <col min="8" max="8" width="27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70</v>
      </c>
      <c r="B2" t="s">
        <v>71</v>
      </c>
      <c r="C2" t="s">
        <v>72</v>
      </c>
      <c r="D2" t="s">
        <v>73</v>
      </c>
      <c r="E2" t="s">
        <v>72</v>
      </c>
      <c r="F2" t="s">
        <v>73</v>
      </c>
      <c r="G2" t="s">
        <v>72</v>
      </c>
      <c r="H2" t="s">
        <v>73</v>
      </c>
      <c r="I2" t="s">
        <v>74</v>
      </c>
      <c r="J2" t="s">
        <v>72</v>
      </c>
    </row>
    <row r="3" spans="1:10" x14ac:dyDescent="0.35">
      <c r="A3" t="s">
        <v>70</v>
      </c>
      <c r="B3" t="s">
        <v>71</v>
      </c>
      <c r="C3" t="s">
        <v>75</v>
      </c>
      <c r="D3" t="s">
        <v>76</v>
      </c>
      <c r="E3" t="s">
        <v>75</v>
      </c>
      <c r="F3" t="s">
        <v>76</v>
      </c>
      <c r="G3" t="s">
        <v>75</v>
      </c>
      <c r="H3" t="s">
        <v>76</v>
      </c>
      <c r="I3" t="s">
        <v>77</v>
      </c>
      <c r="J3" t="s">
        <v>75</v>
      </c>
    </row>
    <row r="4" spans="1:10" x14ac:dyDescent="0.35">
      <c r="A4" t="s">
        <v>10</v>
      </c>
      <c r="B4" t="s">
        <v>11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21</v>
      </c>
    </row>
    <row r="5" spans="1:10" x14ac:dyDescent="0.35">
      <c r="A5" t="s">
        <v>10</v>
      </c>
      <c r="B5" t="s">
        <v>11</v>
      </c>
      <c r="C5" t="s">
        <v>17</v>
      </c>
      <c r="D5" t="s">
        <v>18</v>
      </c>
      <c r="E5" t="s">
        <v>17</v>
      </c>
      <c r="F5" t="s">
        <v>18</v>
      </c>
      <c r="G5" t="s">
        <v>17</v>
      </c>
      <c r="H5" t="s">
        <v>18</v>
      </c>
      <c r="I5" t="s">
        <v>60</v>
      </c>
      <c r="J5" t="s">
        <v>17</v>
      </c>
    </row>
    <row r="6" spans="1:10" x14ac:dyDescent="0.35">
      <c r="A6" t="s">
        <v>10</v>
      </c>
      <c r="B6" t="s">
        <v>11</v>
      </c>
      <c r="C6" t="s">
        <v>17</v>
      </c>
      <c r="D6" t="s">
        <v>18</v>
      </c>
      <c r="E6" t="s">
        <v>116</v>
      </c>
      <c r="F6" t="s">
        <v>117</v>
      </c>
      <c r="G6" t="s">
        <v>116</v>
      </c>
      <c r="H6" t="s">
        <v>117</v>
      </c>
      <c r="I6" t="s">
        <v>118</v>
      </c>
      <c r="J6" t="s">
        <v>116</v>
      </c>
    </row>
    <row r="7" spans="1:10" x14ac:dyDescent="0.35">
      <c r="A7" t="s">
        <v>10</v>
      </c>
      <c r="B7" t="s">
        <v>11</v>
      </c>
      <c r="C7" t="s">
        <v>17</v>
      </c>
      <c r="D7" t="s">
        <v>18</v>
      </c>
      <c r="E7" t="s">
        <v>201</v>
      </c>
      <c r="F7" t="s">
        <v>202</v>
      </c>
      <c r="G7" t="s">
        <v>203</v>
      </c>
      <c r="H7" t="s">
        <v>204</v>
      </c>
      <c r="I7" t="s">
        <v>205</v>
      </c>
      <c r="J7" t="s">
        <v>203</v>
      </c>
    </row>
    <row r="8" spans="1:10" x14ac:dyDescent="0.35">
      <c r="A8" t="s">
        <v>10</v>
      </c>
      <c r="B8" t="s">
        <v>11</v>
      </c>
      <c r="C8" t="s">
        <v>17</v>
      </c>
      <c r="D8" t="s">
        <v>18</v>
      </c>
      <c r="E8" t="s">
        <v>249</v>
      </c>
      <c r="F8" t="s">
        <v>250</v>
      </c>
      <c r="G8" t="s">
        <v>249</v>
      </c>
      <c r="H8" t="s">
        <v>250</v>
      </c>
      <c r="I8" t="s">
        <v>251</v>
      </c>
      <c r="J8" t="s">
        <v>249</v>
      </c>
    </row>
    <row r="9" spans="1:10" x14ac:dyDescent="0.35">
      <c r="A9" t="s">
        <v>10</v>
      </c>
      <c r="B9" t="s">
        <v>11</v>
      </c>
      <c r="C9" t="s">
        <v>17</v>
      </c>
      <c r="D9" t="s">
        <v>18</v>
      </c>
      <c r="E9" t="s">
        <v>255</v>
      </c>
      <c r="F9" t="s">
        <v>256</v>
      </c>
      <c r="G9" t="s">
        <v>257</v>
      </c>
      <c r="H9" t="s">
        <v>258</v>
      </c>
      <c r="I9" t="s">
        <v>259</v>
      </c>
      <c r="J9" t="s">
        <v>257</v>
      </c>
    </row>
    <row r="10" spans="1:10" x14ac:dyDescent="0.35">
      <c r="A10" t="s">
        <v>10</v>
      </c>
      <c r="B10" t="s">
        <v>11</v>
      </c>
      <c r="C10" t="s">
        <v>17</v>
      </c>
      <c r="D10" t="s">
        <v>18</v>
      </c>
      <c r="E10" t="s">
        <v>260</v>
      </c>
      <c r="F10" t="s">
        <v>261</v>
      </c>
      <c r="G10" t="s">
        <v>260</v>
      </c>
      <c r="H10" t="s">
        <v>261</v>
      </c>
      <c r="I10" t="s">
        <v>262</v>
      </c>
      <c r="J10" t="s">
        <v>260</v>
      </c>
    </row>
    <row r="11" spans="1:10" x14ac:dyDescent="0.35">
      <c r="A11" t="s">
        <v>10</v>
      </c>
      <c r="B11" t="s">
        <v>11</v>
      </c>
      <c r="C11" t="s">
        <v>17</v>
      </c>
      <c r="D11" t="s">
        <v>18</v>
      </c>
      <c r="E11" t="s">
        <v>295</v>
      </c>
      <c r="F11" t="s">
        <v>296</v>
      </c>
      <c r="G11" t="s">
        <v>295</v>
      </c>
      <c r="H11" t="s">
        <v>296</v>
      </c>
      <c r="I11" t="s">
        <v>297</v>
      </c>
      <c r="J11" t="s">
        <v>295</v>
      </c>
    </row>
    <row r="12" spans="1:10" x14ac:dyDescent="0.35">
      <c r="A12" t="s">
        <v>10</v>
      </c>
      <c r="B12" t="s">
        <v>11</v>
      </c>
      <c r="C12" t="s">
        <v>81</v>
      </c>
      <c r="D12" t="s">
        <v>82</v>
      </c>
      <c r="E12" t="s">
        <v>81</v>
      </c>
      <c r="F12" t="s">
        <v>82</v>
      </c>
      <c r="G12" t="s">
        <v>81</v>
      </c>
      <c r="H12" t="s">
        <v>82</v>
      </c>
      <c r="I12" t="s">
        <v>83</v>
      </c>
      <c r="J12" t="s">
        <v>81</v>
      </c>
    </row>
    <row r="13" spans="1:10" x14ac:dyDescent="0.35">
      <c r="A13" t="s">
        <v>10</v>
      </c>
      <c r="B13" t="s">
        <v>11</v>
      </c>
      <c r="C13" t="s">
        <v>10</v>
      </c>
      <c r="D13" t="s">
        <v>340</v>
      </c>
      <c r="E13" t="s">
        <v>201</v>
      </c>
      <c r="F13" t="s">
        <v>202</v>
      </c>
      <c r="G13" t="s">
        <v>341</v>
      </c>
      <c r="H13" t="s">
        <v>342</v>
      </c>
      <c r="I13" t="s">
        <v>339</v>
      </c>
      <c r="J13" t="s">
        <v>341</v>
      </c>
    </row>
    <row r="14" spans="1:10" x14ac:dyDescent="0.35">
      <c r="A14" t="s">
        <v>10</v>
      </c>
      <c r="B14" t="s">
        <v>11</v>
      </c>
      <c r="C14" t="s">
        <v>10</v>
      </c>
      <c r="D14" t="s">
        <v>340</v>
      </c>
      <c r="E14" t="s">
        <v>157</v>
      </c>
      <c r="F14" t="s">
        <v>158</v>
      </c>
      <c r="G14" t="s">
        <v>157</v>
      </c>
      <c r="H14" t="s">
        <v>158</v>
      </c>
      <c r="I14" t="s">
        <v>339</v>
      </c>
      <c r="J14" t="s">
        <v>157</v>
      </c>
    </row>
    <row r="15" spans="1:10" x14ac:dyDescent="0.35">
      <c r="A15" t="s">
        <v>10</v>
      </c>
      <c r="B15" t="s">
        <v>11</v>
      </c>
      <c r="C15" t="s">
        <v>10</v>
      </c>
      <c r="D15" t="s">
        <v>340</v>
      </c>
      <c r="E15" t="s">
        <v>232</v>
      </c>
      <c r="F15" t="s">
        <v>233</v>
      </c>
      <c r="G15" t="s">
        <v>232</v>
      </c>
      <c r="H15" t="s">
        <v>233</v>
      </c>
      <c r="I15" t="s">
        <v>339</v>
      </c>
      <c r="J15" t="s">
        <v>232</v>
      </c>
    </row>
    <row r="16" spans="1:10" x14ac:dyDescent="0.35">
      <c r="A16" t="s">
        <v>10</v>
      </c>
      <c r="B16" t="s">
        <v>11</v>
      </c>
      <c r="C16" t="s">
        <v>10</v>
      </c>
      <c r="D16" t="s">
        <v>340</v>
      </c>
      <c r="E16" t="s">
        <v>255</v>
      </c>
      <c r="F16" t="s">
        <v>256</v>
      </c>
      <c r="G16" t="s">
        <v>345</v>
      </c>
      <c r="H16" t="s">
        <v>346</v>
      </c>
      <c r="I16" t="s">
        <v>339</v>
      </c>
      <c r="J16" t="s">
        <v>345</v>
      </c>
    </row>
    <row r="17" spans="1:10" x14ac:dyDescent="0.3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14</v>
      </c>
      <c r="H17" t="s">
        <v>15</v>
      </c>
      <c r="I17" t="s">
        <v>16</v>
      </c>
      <c r="J17" t="s">
        <v>14</v>
      </c>
    </row>
    <row r="18" spans="1:10" x14ac:dyDescent="0.35">
      <c r="A18" t="s">
        <v>10</v>
      </c>
      <c r="B18" t="s">
        <v>11</v>
      </c>
      <c r="C18" t="s">
        <v>12</v>
      </c>
      <c r="D18" t="s">
        <v>13</v>
      </c>
      <c r="E18" t="s">
        <v>41</v>
      </c>
      <c r="F18" t="s">
        <v>42</v>
      </c>
      <c r="G18" t="s">
        <v>41</v>
      </c>
      <c r="H18" t="s">
        <v>42</v>
      </c>
      <c r="I18" t="s">
        <v>43</v>
      </c>
      <c r="J18" t="s">
        <v>41</v>
      </c>
    </row>
    <row r="19" spans="1:10" x14ac:dyDescent="0.35">
      <c r="A19" t="s">
        <v>10</v>
      </c>
      <c r="B19" t="s">
        <v>11</v>
      </c>
      <c r="C19" t="s">
        <v>12</v>
      </c>
      <c r="D19" t="s">
        <v>13</v>
      </c>
      <c r="E19" t="s">
        <v>84</v>
      </c>
      <c r="F19" t="s">
        <v>85</v>
      </c>
      <c r="G19" t="s">
        <v>84</v>
      </c>
      <c r="H19" t="s">
        <v>85</v>
      </c>
      <c r="I19" t="s">
        <v>86</v>
      </c>
      <c r="J19" t="s">
        <v>84</v>
      </c>
    </row>
    <row r="20" spans="1:10" x14ac:dyDescent="0.35">
      <c r="A20" t="s">
        <v>10</v>
      </c>
      <c r="B20" t="s">
        <v>11</v>
      </c>
      <c r="C20" t="s">
        <v>12</v>
      </c>
      <c r="D20" t="s">
        <v>13</v>
      </c>
      <c r="E20" t="s">
        <v>94</v>
      </c>
      <c r="F20" t="s">
        <v>95</v>
      </c>
      <c r="G20" t="s">
        <v>94</v>
      </c>
      <c r="H20" t="s">
        <v>95</v>
      </c>
      <c r="I20" t="s">
        <v>96</v>
      </c>
      <c r="J20" t="s">
        <v>94</v>
      </c>
    </row>
    <row r="21" spans="1:10" x14ac:dyDescent="0.35">
      <c r="A21" t="s">
        <v>10</v>
      </c>
      <c r="B21" t="s">
        <v>11</v>
      </c>
      <c r="C21" t="s">
        <v>12</v>
      </c>
      <c r="D21" t="s">
        <v>13</v>
      </c>
      <c r="E21" t="s">
        <v>106</v>
      </c>
      <c r="F21" t="s">
        <v>107</v>
      </c>
      <c r="G21" t="s">
        <v>106</v>
      </c>
      <c r="H21" t="s">
        <v>107</v>
      </c>
      <c r="I21" t="s">
        <v>108</v>
      </c>
      <c r="J21" t="s">
        <v>106</v>
      </c>
    </row>
    <row r="22" spans="1:10" x14ac:dyDescent="0.35">
      <c r="A22" t="s">
        <v>10</v>
      </c>
      <c r="B22" t="s">
        <v>11</v>
      </c>
      <c r="C22" t="s">
        <v>12</v>
      </c>
      <c r="D22" t="s">
        <v>13</v>
      </c>
      <c r="E22" t="s">
        <v>109</v>
      </c>
      <c r="F22" t="s">
        <v>110</v>
      </c>
      <c r="G22" t="s">
        <v>109</v>
      </c>
      <c r="H22" t="s">
        <v>110</v>
      </c>
      <c r="I22" t="s">
        <v>111</v>
      </c>
      <c r="J22" t="s">
        <v>109</v>
      </c>
    </row>
    <row r="23" spans="1:10" x14ac:dyDescent="0.35">
      <c r="A23" t="s">
        <v>10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12</v>
      </c>
      <c r="H23" t="s">
        <v>13</v>
      </c>
      <c r="I23" t="s">
        <v>115</v>
      </c>
      <c r="J23" t="s">
        <v>12</v>
      </c>
    </row>
    <row r="24" spans="1:10" x14ac:dyDescent="0.35">
      <c r="A24" t="s">
        <v>10</v>
      </c>
      <c r="B24" t="s">
        <v>11</v>
      </c>
      <c r="C24" t="s">
        <v>12</v>
      </c>
      <c r="D24" t="s">
        <v>13</v>
      </c>
      <c r="E24" t="s">
        <v>139</v>
      </c>
      <c r="F24" t="s">
        <v>140</v>
      </c>
      <c r="G24" t="s">
        <v>139</v>
      </c>
      <c r="H24" t="s">
        <v>140</v>
      </c>
      <c r="I24" t="s">
        <v>141</v>
      </c>
      <c r="J24" t="s">
        <v>139</v>
      </c>
    </row>
    <row r="25" spans="1:10" x14ac:dyDescent="0.35">
      <c r="A25" t="s">
        <v>10</v>
      </c>
      <c r="B25" t="s">
        <v>11</v>
      </c>
      <c r="C25" t="s">
        <v>12</v>
      </c>
      <c r="D25" t="s">
        <v>13</v>
      </c>
      <c r="E25" t="s">
        <v>145</v>
      </c>
      <c r="F25" t="s">
        <v>146</v>
      </c>
      <c r="G25" t="s">
        <v>145</v>
      </c>
      <c r="H25" t="s">
        <v>146</v>
      </c>
      <c r="I25" t="s">
        <v>147</v>
      </c>
      <c r="J25" t="s">
        <v>145</v>
      </c>
    </row>
    <row r="26" spans="1:10" x14ac:dyDescent="0.35">
      <c r="A26" t="s">
        <v>10</v>
      </c>
      <c r="B26" t="s">
        <v>11</v>
      </c>
      <c r="C26" t="s">
        <v>12</v>
      </c>
      <c r="D26" t="s">
        <v>13</v>
      </c>
      <c r="E26" t="s">
        <v>168</v>
      </c>
      <c r="F26" t="s">
        <v>169</v>
      </c>
      <c r="G26" t="s">
        <v>168</v>
      </c>
      <c r="H26" t="s">
        <v>169</v>
      </c>
      <c r="I26" t="s">
        <v>170</v>
      </c>
      <c r="J26" t="s">
        <v>168</v>
      </c>
    </row>
    <row r="27" spans="1:10" x14ac:dyDescent="0.35">
      <c r="A27" t="s">
        <v>10</v>
      </c>
      <c r="B27" t="s">
        <v>11</v>
      </c>
      <c r="C27" t="s">
        <v>12</v>
      </c>
      <c r="D27" t="s">
        <v>13</v>
      </c>
      <c r="E27" t="s">
        <v>171</v>
      </c>
      <c r="F27" t="s">
        <v>172</v>
      </c>
      <c r="G27" t="s">
        <v>171</v>
      </c>
      <c r="H27" t="s">
        <v>172</v>
      </c>
      <c r="I27" t="s">
        <v>173</v>
      </c>
      <c r="J27" t="s">
        <v>171</v>
      </c>
    </row>
    <row r="28" spans="1:10" x14ac:dyDescent="0.35">
      <c r="A28" t="s">
        <v>10</v>
      </c>
      <c r="B28" t="s">
        <v>11</v>
      </c>
      <c r="C28" t="s">
        <v>12</v>
      </c>
      <c r="D28" t="s">
        <v>13</v>
      </c>
      <c r="E28" t="s">
        <v>174</v>
      </c>
      <c r="F28" t="s">
        <v>175</v>
      </c>
      <c r="G28" t="s">
        <v>174</v>
      </c>
      <c r="H28" t="s">
        <v>175</v>
      </c>
      <c r="I28" t="s">
        <v>176</v>
      </c>
      <c r="J28" t="s">
        <v>174</v>
      </c>
    </row>
    <row r="29" spans="1:10" x14ac:dyDescent="0.35">
      <c r="A29" t="s">
        <v>10</v>
      </c>
      <c r="B29" t="s">
        <v>11</v>
      </c>
      <c r="C29" t="s">
        <v>12</v>
      </c>
      <c r="D29" t="s">
        <v>13</v>
      </c>
      <c r="E29" t="s">
        <v>201</v>
      </c>
      <c r="F29" t="s">
        <v>202</v>
      </c>
      <c r="G29" t="s">
        <v>206</v>
      </c>
      <c r="H29" t="s">
        <v>207</v>
      </c>
      <c r="I29" t="s">
        <v>208</v>
      </c>
      <c r="J29" t="s">
        <v>206</v>
      </c>
    </row>
    <row r="30" spans="1:10" x14ac:dyDescent="0.35">
      <c r="A30" t="s">
        <v>10</v>
      </c>
      <c r="B30" t="s">
        <v>11</v>
      </c>
      <c r="C30" t="s">
        <v>12</v>
      </c>
      <c r="D30" t="s">
        <v>13</v>
      </c>
      <c r="E30" t="s">
        <v>232</v>
      </c>
      <c r="F30" t="s">
        <v>233</v>
      </c>
      <c r="G30" t="s">
        <v>234</v>
      </c>
      <c r="H30" t="s">
        <v>235</v>
      </c>
      <c r="I30" t="s">
        <v>236</v>
      </c>
      <c r="J30" t="s">
        <v>234</v>
      </c>
    </row>
    <row r="31" spans="1:10" x14ac:dyDescent="0.35">
      <c r="A31" t="s">
        <v>10</v>
      </c>
      <c r="B31" t="s">
        <v>11</v>
      </c>
      <c r="C31" t="s">
        <v>12</v>
      </c>
      <c r="D31" t="s">
        <v>13</v>
      </c>
      <c r="E31" t="s">
        <v>246</v>
      </c>
      <c r="F31" t="s">
        <v>247</v>
      </c>
      <c r="G31" t="s">
        <v>246</v>
      </c>
      <c r="H31" t="s">
        <v>247</v>
      </c>
      <c r="I31" t="s">
        <v>248</v>
      </c>
      <c r="J31" t="s">
        <v>246</v>
      </c>
    </row>
    <row r="32" spans="1:10" x14ac:dyDescent="0.35">
      <c r="A32" t="s">
        <v>10</v>
      </c>
      <c r="B32" t="s">
        <v>11</v>
      </c>
      <c r="C32" t="s">
        <v>12</v>
      </c>
      <c r="D32" t="s">
        <v>13</v>
      </c>
      <c r="E32" t="s">
        <v>255</v>
      </c>
      <c r="F32" t="s">
        <v>256</v>
      </c>
      <c r="G32" t="s">
        <v>263</v>
      </c>
      <c r="H32" t="s">
        <v>264</v>
      </c>
      <c r="I32" t="s">
        <v>265</v>
      </c>
      <c r="J32" t="s">
        <v>263</v>
      </c>
    </row>
    <row r="33" spans="1:10" x14ac:dyDescent="0.35">
      <c r="A33" t="s">
        <v>10</v>
      </c>
      <c r="B33" t="s">
        <v>11</v>
      </c>
      <c r="C33" t="s">
        <v>12</v>
      </c>
      <c r="D33" t="s">
        <v>13</v>
      </c>
      <c r="E33" t="s">
        <v>272</v>
      </c>
      <c r="F33" t="s">
        <v>273</v>
      </c>
      <c r="G33" t="s">
        <v>272</v>
      </c>
      <c r="H33" t="s">
        <v>273</v>
      </c>
      <c r="I33" t="s">
        <v>274</v>
      </c>
      <c r="J33" t="s">
        <v>272</v>
      </c>
    </row>
    <row r="34" spans="1:10" x14ac:dyDescent="0.35">
      <c r="A34" t="s">
        <v>10</v>
      </c>
      <c r="B34" t="s">
        <v>11</v>
      </c>
      <c r="C34" t="s">
        <v>130</v>
      </c>
      <c r="D34" t="s">
        <v>131</v>
      </c>
      <c r="E34" t="s">
        <v>130</v>
      </c>
      <c r="F34" t="s">
        <v>131</v>
      </c>
      <c r="G34" t="s">
        <v>130</v>
      </c>
      <c r="H34" t="s">
        <v>131</v>
      </c>
      <c r="I34" t="s">
        <v>132</v>
      </c>
      <c r="J34" t="s">
        <v>130</v>
      </c>
    </row>
    <row r="35" spans="1:10" x14ac:dyDescent="0.35">
      <c r="A35" t="s">
        <v>10</v>
      </c>
      <c r="B35" t="s">
        <v>11</v>
      </c>
      <c r="C35" t="s">
        <v>130</v>
      </c>
      <c r="D35" t="s">
        <v>131</v>
      </c>
      <c r="E35" t="s">
        <v>187</v>
      </c>
      <c r="F35" t="s">
        <v>188</v>
      </c>
      <c r="G35" t="s">
        <v>187</v>
      </c>
      <c r="H35" t="s">
        <v>188</v>
      </c>
      <c r="I35" t="s">
        <v>189</v>
      </c>
      <c r="J35" t="s">
        <v>187</v>
      </c>
    </row>
    <row r="36" spans="1:10" x14ac:dyDescent="0.35">
      <c r="A36" t="s">
        <v>10</v>
      </c>
      <c r="B36" t="s">
        <v>11</v>
      </c>
      <c r="C36" t="s">
        <v>130</v>
      </c>
      <c r="D36" t="s">
        <v>131</v>
      </c>
      <c r="E36" t="s">
        <v>201</v>
      </c>
      <c r="F36" t="s">
        <v>202</v>
      </c>
      <c r="G36" t="s">
        <v>209</v>
      </c>
      <c r="H36" t="s">
        <v>210</v>
      </c>
      <c r="I36" t="s">
        <v>211</v>
      </c>
      <c r="J36" t="s">
        <v>209</v>
      </c>
    </row>
    <row r="37" spans="1:10" x14ac:dyDescent="0.35">
      <c r="A37" t="s">
        <v>10</v>
      </c>
      <c r="B37" t="s">
        <v>11</v>
      </c>
      <c r="C37" t="s">
        <v>130</v>
      </c>
      <c r="D37" t="s">
        <v>131</v>
      </c>
      <c r="E37" t="s">
        <v>226</v>
      </c>
      <c r="F37" t="s">
        <v>227</v>
      </c>
      <c r="G37" t="s">
        <v>226</v>
      </c>
      <c r="H37" t="s">
        <v>227</v>
      </c>
      <c r="I37" t="s">
        <v>228</v>
      </c>
      <c r="J37" t="s">
        <v>226</v>
      </c>
    </row>
    <row r="38" spans="1:10" x14ac:dyDescent="0.35">
      <c r="A38" t="s">
        <v>10</v>
      </c>
      <c r="B38" t="s">
        <v>11</v>
      </c>
      <c r="C38" t="s">
        <v>130</v>
      </c>
      <c r="D38" t="s">
        <v>131</v>
      </c>
      <c r="E38" t="s">
        <v>232</v>
      </c>
      <c r="F38" t="s">
        <v>233</v>
      </c>
      <c r="G38" t="s">
        <v>237</v>
      </c>
      <c r="H38" t="s">
        <v>238</v>
      </c>
      <c r="I38" t="s">
        <v>239</v>
      </c>
      <c r="J38" t="s">
        <v>237</v>
      </c>
    </row>
    <row r="39" spans="1:10" x14ac:dyDescent="0.35">
      <c r="A39" t="s">
        <v>10</v>
      </c>
      <c r="B39" t="s">
        <v>11</v>
      </c>
      <c r="C39" t="s">
        <v>130</v>
      </c>
      <c r="D39" t="s">
        <v>131</v>
      </c>
      <c r="E39" t="s">
        <v>255</v>
      </c>
      <c r="F39" t="s">
        <v>256</v>
      </c>
      <c r="G39" t="s">
        <v>266</v>
      </c>
      <c r="H39" t="s">
        <v>267</v>
      </c>
      <c r="I39" t="s">
        <v>268</v>
      </c>
      <c r="J39" t="s">
        <v>266</v>
      </c>
    </row>
    <row r="40" spans="1:10" x14ac:dyDescent="0.35">
      <c r="A40" t="s">
        <v>10</v>
      </c>
      <c r="B40" t="s">
        <v>11</v>
      </c>
      <c r="C40" t="s">
        <v>130</v>
      </c>
      <c r="D40" t="s">
        <v>131</v>
      </c>
      <c r="E40" t="s">
        <v>315</v>
      </c>
      <c r="F40" t="s">
        <v>316</v>
      </c>
      <c r="G40" t="s">
        <v>315</v>
      </c>
      <c r="H40" t="s">
        <v>316</v>
      </c>
      <c r="I40" t="s">
        <v>317</v>
      </c>
      <c r="J40" t="s">
        <v>315</v>
      </c>
    </row>
    <row r="41" spans="1:10" x14ac:dyDescent="0.35">
      <c r="A41" t="s">
        <v>10</v>
      </c>
      <c r="B41" t="s">
        <v>11</v>
      </c>
      <c r="C41" t="s">
        <v>133</v>
      </c>
      <c r="D41" t="s">
        <v>134</v>
      </c>
      <c r="E41" t="s">
        <v>133</v>
      </c>
      <c r="F41" t="s">
        <v>134</v>
      </c>
      <c r="G41" t="s">
        <v>133</v>
      </c>
      <c r="H41" t="s">
        <v>134</v>
      </c>
      <c r="I41" t="s">
        <v>135</v>
      </c>
      <c r="J41" t="s">
        <v>133</v>
      </c>
    </row>
    <row r="42" spans="1:10" x14ac:dyDescent="0.35">
      <c r="A42" t="s">
        <v>10</v>
      </c>
      <c r="B42" t="s">
        <v>11</v>
      </c>
      <c r="C42" t="s">
        <v>133</v>
      </c>
      <c r="D42" t="s">
        <v>134</v>
      </c>
      <c r="E42" t="s">
        <v>136</v>
      </c>
      <c r="F42" t="s">
        <v>137</v>
      </c>
      <c r="G42" t="s">
        <v>136</v>
      </c>
      <c r="H42" t="s">
        <v>137</v>
      </c>
      <c r="I42" t="s">
        <v>138</v>
      </c>
      <c r="J42" t="s">
        <v>136</v>
      </c>
    </row>
    <row r="43" spans="1:10" x14ac:dyDescent="0.35">
      <c r="A43" t="s">
        <v>10</v>
      </c>
      <c r="B43" t="s">
        <v>11</v>
      </c>
      <c r="C43" t="s">
        <v>44</v>
      </c>
      <c r="D43" t="s">
        <v>45</v>
      </c>
      <c r="E43" t="s">
        <v>46</v>
      </c>
      <c r="F43" t="s">
        <v>47</v>
      </c>
      <c r="G43" t="s">
        <v>46</v>
      </c>
      <c r="H43" t="s">
        <v>47</v>
      </c>
      <c r="I43" t="s">
        <v>48</v>
      </c>
      <c r="J43" t="s">
        <v>46</v>
      </c>
    </row>
    <row r="44" spans="1:10" x14ac:dyDescent="0.35">
      <c r="A44" t="s">
        <v>10</v>
      </c>
      <c r="B44" t="s">
        <v>11</v>
      </c>
      <c r="C44" t="s">
        <v>44</v>
      </c>
      <c r="D44" t="s">
        <v>45</v>
      </c>
      <c r="E44" t="s">
        <v>103</v>
      </c>
      <c r="F44" t="s">
        <v>104</v>
      </c>
      <c r="G44" t="s">
        <v>103</v>
      </c>
      <c r="H44" t="s">
        <v>104</v>
      </c>
      <c r="I44" t="s">
        <v>105</v>
      </c>
      <c r="J44" t="s">
        <v>103</v>
      </c>
    </row>
    <row r="45" spans="1:10" x14ac:dyDescent="0.35">
      <c r="A45" t="s">
        <v>10</v>
      </c>
      <c r="B45" t="s">
        <v>11</v>
      </c>
      <c r="C45" t="s">
        <v>44</v>
      </c>
      <c r="D45" t="s">
        <v>45</v>
      </c>
      <c r="E45" t="s">
        <v>119</v>
      </c>
      <c r="F45" t="s">
        <v>120</v>
      </c>
      <c r="G45" t="s">
        <v>119</v>
      </c>
      <c r="H45" t="s">
        <v>120</v>
      </c>
      <c r="I45" t="s">
        <v>121</v>
      </c>
      <c r="J45" t="s">
        <v>119</v>
      </c>
    </row>
    <row r="46" spans="1:10" x14ac:dyDescent="0.35">
      <c r="A46" t="s">
        <v>10</v>
      </c>
      <c r="B46" t="s">
        <v>11</v>
      </c>
      <c r="C46" t="s">
        <v>44</v>
      </c>
      <c r="D46" t="s">
        <v>45</v>
      </c>
      <c r="E46" t="s">
        <v>122</v>
      </c>
      <c r="F46" t="s">
        <v>123</v>
      </c>
      <c r="G46" t="s">
        <v>122</v>
      </c>
      <c r="H46" t="s">
        <v>123</v>
      </c>
      <c r="I46" t="s">
        <v>124</v>
      </c>
      <c r="J46" t="s">
        <v>122</v>
      </c>
    </row>
    <row r="47" spans="1:10" x14ac:dyDescent="0.35">
      <c r="A47" t="s">
        <v>10</v>
      </c>
      <c r="B47" t="s">
        <v>11</v>
      </c>
      <c r="C47" t="s">
        <v>44</v>
      </c>
      <c r="D47" t="s">
        <v>45</v>
      </c>
      <c r="E47" t="s">
        <v>148</v>
      </c>
      <c r="F47" t="s">
        <v>149</v>
      </c>
      <c r="G47" t="s">
        <v>148</v>
      </c>
      <c r="H47" t="s">
        <v>149</v>
      </c>
      <c r="I47" t="s">
        <v>150</v>
      </c>
      <c r="J47" t="s">
        <v>148</v>
      </c>
    </row>
    <row r="48" spans="1:10" x14ac:dyDescent="0.35">
      <c r="A48" t="s">
        <v>10</v>
      </c>
      <c r="B48" t="s">
        <v>11</v>
      </c>
      <c r="C48" t="s">
        <v>44</v>
      </c>
      <c r="D48" t="s">
        <v>45</v>
      </c>
      <c r="E48" t="s">
        <v>165</v>
      </c>
      <c r="F48" t="s">
        <v>166</v>
      </c>
      <c r="G48" t="s">
        <v>165</v>
      </c>
      <c r="H48" t="s">
        <v>166</v>
      </c>
      <c r="I48" t="s">
        <v>167</v>
      </c>
      <c r="J48" t="s">
        <v>165</v>
      </c>
    </row>
    <row r="49" spans="1:10" x14ac:dyDescent="0.35">
      <c r="A49" t="s">
        <v>10</v>
      </c>
      <c r="B49" t="s">
        <v>11</v>
      </c>
      <c r="C49" t="s">
        <v>44</v>
      </c>
      <c r="D49" t="s">
        <v>45</v>
      </c>
      <c r="E49" t="s">
        <v>180</v>
      </c>
      <c r="F49" t="s">
        <v>181</v>
      </c>
      <c r="G49" t="s">
        <v>180</v>
      </c>
      <c r="H49" t="s">
        <v>181</v>
      </c>
      <c r="I49" t="s">
        <v>182</v>
      </c>
      <c r="J49" t="s">
        <v>180</v>
      </c>
    </row>
    <row r="50" spans="1:10" x14ac:dyDescent="0.35">
      <c r="A50" t="s">
        <v>10</v>
      </c>
      <c r="B50" t="s">
        <v>11</v>
      </c>
      <c r="C50" t="s">
        <v>44</v>
      </c>
      <c r="D50" t="s">
        <v>45</v>
      </c>
      <c r="E50" t="s">
        <v>337</v>
      </c>
      <c r="F50" t="s">
        <v>338</v>
      </c>
      <c r="G50" t="s">
        <v>337</v>
      </c>
      <c r="H50" t="s">
        <v>338</v>
      </c>
      <c r="I50" t="s">
        <v>339</v>
      </c>
      <c r="J50" t="s">
        <v>337</v>
      </c>
    </row>
    <row r="51" spans="1:10" x14ac:dyDescent="0.35">
      <c r="A51" t="s">
        <v>10</v>
      </c>
      <c r="B51" t="s">
        <v>11</v>
      </c>
      <c r="C51" t="s">
        <v>44</v>
      </c>
      <c r="D51" t="s">
        <v>45</v>
      </c>
      <c r="E51" t="s">
        <v>183</v>
      </c>
      <c r="F51" t="s">
        <v>184</v>
      </c>
      <c r="G51" t="s">
        <v>183</v>
      </c>
      <c r="H51" t="s">
        <v>184</v>
      </c>
      <c r="I51" t="s">
        <v>185</v>
      </c>
      <c r="J51" t="s">
        <v>183</v>
      </c>
    </row>
    <row r="52" spans="1:10" x14ac:dyDescent="0.35">
      <c r="A52" t="s">
        <v>10</v>
      </c>
      <c r="B52" t="s">
        <v>11</v>
      </c>
      <c r="C52" t="s">
        <v>44</v>
      </c>
      <c r="D52" t="s">
        <v>45</v>
      </c>
      <c r="E52" t="s">
        <v>44</v>
      </c>
      <c r="F52" t="s">
        <v>45</v>
      </c>
      <c r="G52" t="s">
        <v>44</v>
      </c>
      <c r="H52" t="s">
        <v>45</v>
      </c>
      <c r="I52" t="s">
        <v>186</v>
      </c>
      <c r="J52" t="s">
        <v>44</v>
      </c>
    </row>
    <row r="53" spans="1:10" x14ac:dyDescent="0.35">
      <c r="A53" t="s">
        <v>10</v>
      </c>
      <c r="B53" t="s">
        <v>11</v>
      </c>
      <c r="C53" t="s">
        <v>44</v>
      </c>
      <c r="D53" t="s">
        <v>45</v>
      </c>
      <c r="E53" t="s">
        <v>212</v>
      </c>
      <c r="F53" t="s">
        <v>213</v>
      </c>
      <c r="G53" t="s">
        <v>212</v>
      </c>
      <c r="H53" t="s">
        <v>213</v>
      </c>
      <c r="I53" t="s">
        <v>214</v>
      </c>
      <c r="J53" t="s">
        <v>212</v>
      </c>
    </row>
    <row r="54" spans="1:10" x14ac:dyDescent="0.35">
      <c r="A54" t="s">
        <v>10</v>
      </c>
      <c r="B54" t="s">
        <v>11</v>
      </c>
      <c r="C54" t="s">
        <v>44</v>
      </c>
      <c r="D54" t="s">
        <v>45</v>
      </c>
      <c r="E54" t="s">
        <v>223</v>
      </c>
      <c r="F54" t="s">
        <v>224</v>
      </c>
      <c r="G54" t="s">
        <v>223</v>
      </c>
      <c r="H54" t="s">
        <v>224</v>
      </c>
      <c r="I54" t="s">
        <v>225</v>
      </c>
      <c r="J54" t="s">
        <v>223</v>
      </c>
    </row>
    <row r="55" spans="1:10" x14ac:dyDescent="0.35">
      <c r="A55" t="s">
        <v>10</v>
      </c>
      <c r="B55" t="s">
        <v>11</v>
      </c>
      <c r="C55" t="s">
        <v>44</v>
      </c>
      <c r="D55" t="s">
        <v>45</v>
      </c>
      <c r="E55" t="s">
        <v>232</v>
      </c>
      <c r="F55" t="s">
        <v>233</v>
      </c>
      <c r="G55" t="s">
        <v>240</v>
      </c>
      <c r="H55" t="s">
        <v>241</v>
      </c>
      <c r="I55" t="s">
        <v>242</v>
      </c>
      <c r="J55" t="s">
        <v>240</v>
      </c>
    </row>
    <row r="56" spans="1:10" x14ac:dyDescent="0.35">
      <c r="A56" t="s">
        <v>10</v>
      </c>
      <c r="B56" t="s">
        <v>11</v>
      </c>
      <c r="C56" t="s">
        <v>44</v>
      </c>
      <c r="D56" t="s">
        <v>45</v>
      </c>
      <c r="E56" t="s">
        <v>343</v>
      </c>
      <c r="F56" t="s">
        <v>344</v>
      </c>
      <c r="G56" t="s">
        <v>343</v>
      </c>
      <c r="H56" t="s">
        <v>344</v>
      </c>
      <c r="I56" t="s">
        <v>339</v>
      </c>
      <c r="J56" t="s">
        <v>343</v>
      </c>
    </row>
    <row r="57" spans="1:10" x14ac:dyDescent="0.35">
      <c r="A57" t="s">
        <v>10</v>
      </c>
      <c r="B57" t="s">
        <v>11</v>
      </c>
      <c r="C57" t="s">
        <v>44</v>
      </c>
      <c r="D57" t="s">
        <v>45</v>
      </c>
      <c r="E57" t="s">
        <v>252</v>
      </c>
      <c r="F57" t="s">
        <v>253</v>
      </c>
      <c r="G57" t="s">
        <v>252</v>
      </c>
      <c r="H57" t="s">
        <v>253</v>
      </c>
      <c r="I57" t="s">
        <v>254</v>
      </c>
      <c r="J57" t="s">
        <v>252</v>
      </c>
    </row>
    <row r="58" spans="1:10" x14ac:dyDescent="0.35">
      <c r="A58" t="s">
        <v>10</v>
      </c>
      <c r="B58" t="s">
        <v>11</v>
      </c>
      <c r="C58" t="s">
        <v>44</v>
      </c>
      <c r="D58" t="s">
        <v>45</v>
      </c>
      <c r="E58" t="s">
        <v>255</v>
      </c>
      <c r="F58" t="s">
        <v>256</v>
      </c>
      <c r="G58" t="s">
        <v>269</v>
      </c>
      <c r="H58" t="s">
        <v>270</v>
      </c>
      <c r="I58" t="s">
        <v>271</v>
      </c>
      <c r="J58" t="s">
        <v>269</v>
      </c>
    </row>
    <row r="59" spans="1:10" x14ac:dyDescent="0.35">
      <c r="A59" t="s">
        <v>10</v>
      </c>
      <c r="B59" t="s">
        <v>11</v>
      </c>
      <c r="C59" t="s">
        <v>44</v>
      </c>
      <c r="D59" t="s">
        <v>45</v>
      </c>
      <c r="E59" t="s">
        <v>298</v>
      </c>
      <c r="F59" t="s">
        <v>299</v>
      </c>
      <c r="G59" t="s">
        <v>298</v>
      </c>
      <c r="H59" t="s">
        <v>299</v>
      </c>
      <c r="I59" t="s">
        <v>300</v>
      </c>
      <c r="J59" t="s">
        <v>298</v>
      </c>
    </row>
    <row r="60" spans="1:10" x14ac:dyDescent="0.35">
      <c r="A60" t="s">
        <v>10</v>
      </c>
      <c r="B60" t="s">
        <v>11</v>
      </c>
      <c r="C60" t="s">
        <v>157</v>
      </c>
      <c r="D60" t="s">
        <v>158</v>
      </c>
      <c r="E60" t="s">
        <v>159</v>
      </c>
      <c r="F60" t="s">
        <v>160</v>
      </c>
      <c r="G60" t="s">
        <v>159</v>
      </c>
      <c r="H60" t="s">
        <v>160</v>
      </c>
      <c r="I60" t="s">
        <v>161</v>
      </c>
      <c r="J60" t="s">
        <v>159</v>
      </c>
    </row>
    <row r="61" spans="1:10" x14ac:dyDescent="0.35">
      <c r="A61" t="s">
        <v>10</v>
      </c>
      <c r="B61" t="s">
        <v>11</v>
      </c>
      <c r="C61" t="s">
        <v>157</v>
      </c>
      <c r="D61" t="s">
        <v>158</v>
      </c>
      <c r="E61" t="s">
        <v>162</v>
      </c>
      <c r="F61" t="s">
        <v>163</v>
      </c>
      <c r="G61" t="s">
        <v>162</v>
      </c>
      <c r="H61" t="s">
        <v>163</v>
      </c>
      <c r="I61" t="s">
        <v>164</v>
      </c>
      <c r="J61" t="s">
        <v>162</v>
      </c>
    </row>
    <row r="62" spans="1:10" x14ac:dyDescent="0.35">
      <c r="A62" t="s">
        <v>10</v>
      </c>
      <c r="B62" t="s">
        <v>11</v>
      </c>
      <c r="C62" t="s">
        <v>157</v>
      </c>
      <c r="D62" t="s">
        <v>158</v>
      </c>
      <c r="E62" t="s">
        <v>193</v>
      </c>
      <c r="F62" t="s">
        <v>194</v>
      </c>
      <c r="G62" t="s">
        <v>193</v>
      </c>
      <c r="H62" t="s">
        <v>194</v>
      </c>
      <c r="I62" t="s">
        <v>195</v>
      </c>
      <c r="J62" t="s">
        <v>193</v>
      </c>
    </row>
    <row r="63" spans="1:10" x14ac:dyDescent="0.35">
      <c r="A63" t="s">
        <v>10</v>
      </c>
      <c r="B63" t="s">
        <v>11</v>
      </c>
      <c r="C63" t="s">
        <v>24</v>
      </c>
      <c r="D63" t="s">
        <v>25</v>
      </c>
      <c r="E63" t="s">
        <v>19</v>
      </c>
      <c r="F63" t="s">
        <v>20</v>
      </c>
      <c r="G63" t="s">
        <v>26</v>
      </c>
      <c r="H63" t="s">
        <v>27</v>
      </c>
      <c r="I63" t="s">
        <v>28</v>
      </c>
      <c r="J63" t="s">
        <v>26</v>
      </c>
    </row>
    <row r="64" spans="1:10" x14ac:dyDescent="0.35">
      <c r="A64" t="s">
        <v>29</v>
      </c>
      <c r="B64" t="s">
        <v>30</v>
      </c>
      <c r="C64" t="s">
        <v>31</v>
      </c>
      <c r="D64" t="s">
        <v>32</v>
      </c>
      <c r="E64" t="s">
        <v>31</v>
      </c>
      <c r="F64" t="s">
        <v>32</v>
      </c>
      <c r="G64" t="s">
        <v>31</v>
      </c>
      <c r="H64" t="s">
        <v>32</v>
      </c>
      <c r="I64" t="s">
        <v>33</v>
      </c>
      <c r="J64" t="s">
        <v>31</v>
      </c>
    </row>
    <row r="65" spans="1:10" x14ac:dyDescent="0.35">
      <c r="A65" t="s">
        <v>29</v>
      </c>
      <c r="B65" t="s">
        <v>30</v>
      </c>
      <c r="C65" t="s">
        <v>334</v>
      </c>
      <c r="D65" t="s">
        <v>335</v>
      </c>
      <c r="E65" t="s">
        <v>334</v>
      </c>
      <c r="F65" t="s">
        <v>335</v>
      </c>
      <c r="G65" t="s">
        <v>334</v>
      </c>
      <c r="H65" t="s">
        <v>335</v>
      </c>
      <c r="I65" t="s">
        <v>336</v>
      </c>
      <c r="J65" t="s">
        <v>334</v>
      </c>
    </row>
    <row r="66" spans="1:10" x14ac:dyDescent="0.35">
      <c r="A66" t="s">
        <v>29</v>
      </c>
      <c r="B66" t="s">
        <v>30</v>
      </c>
      <c r="C66" t="s">
        <v>57</v>
      </c>
      <c r="D66" t="s">
        <v>58</v>
      </c>
      <c r="E66" t="s">
        <v>57</v>
      </c>
      <c r="F66" t="s">
        <v>58</v>
      </c>
      <c r="G66" t="s">
        <v>57</v>
      </c>
      <c r="H66" t="s">
        <v>58</v>
      </c>
      <c r="I66" t="s">
        <v>59</v>
      </c>
      <c r="J66" t="s">
        <v>57</v>
      </c>
    </row>
    <row r="67" spans="1:10" x14ac:dyDescent="0.35">
      <c r="A67" t="s">
        <v>29</v>
      </c>
      <c r="B67" t="s">
        <v>30</v>
      </c>
      <c r="C67" t="s">
        <v>64</v>
      </c>
      <c r="D67" t="s">
        <v>65</v>
      </c>
      <c r="E67" t="s">
        <v>64</v>
      </c>
      <c r="F67" t="s">
        <v>65</v>
      </c>
      <c r="G67" t="s">
        <v>64</v>
      </c>
      <c r="H67" t="s">
        <v>65</v>
      </c>
      <c r="I67" t="s">
        <v>66</v>
      </c>
      <c r="J67" t="s">
        <v>64</v>
      </c>
    </row>
    <row r="68" spans="1:10" x14ac:dyDescent="0.35">
      <c r="A68" t="s">
        <v>29</v>
      </c>
      <c r="B68" t="s">
        <v>30</v>
      </c>
      <c r="C68" t="s">
        <v>78</v>
      </c>
      <c r="D68" t="s">
        <v>79</v>
      </c>
      <c r="E68" t="s">
        <v>78</v>
      </c>
      <c r="F68" t="s">
        <v>79</v>
      </c>
      <c r="G68" t="s">
        <v>78</v>
      </c>
      <c r="H68" t="s">
        <v>79</v>
      </c>
      <c r="I68" t="s">
        <v>80</v>
      </c>
      <c r="J68" t="s">
        <v>78</v>
      </c>
    </row>
    <row r="69" spans="1:10" x14ac:dyDescent="0.35">
      <c r="A69" t="s">
        <v>29</v>
      </c>
      <c r="B69" t="s">
        <v>30</v>
      </c>
      <c r="C69" t="s">
        <v>142</v>
      </c>
      <c r="D69" t="s">
        <v>143</v>
      </c>
      <c r="E69" t="s">
        <v>142</v>
      </c>
      <c r="F69" t="s">
        <v>143</v>
      </c>
      <c r="G69" t="s">
        <v>142</v>
      </c>
      <c r="H69" t="s">
        <v>143</v>
      </c>
      <c r="I69" t="s">
        <v>144</v>
      </c>
      <c r="J69" t="s">
        <v>142</v>
      </c>
    </row>
    <row r="70" spans="1:10" x14ac:dyDescent="0.35">
      <c r="A70" t="s">
        <v>29</v>
      </c>
      <c r="B70" t="s">
        <v>30</v>
      </c>
      <c r="C70" t="s">
        <v>292</v>
      </c>
      <c r="D70" t="s">
        <v>293</v>
      </c>
      <c r="E70" t="s">
        <v>292</v>
      </c>
      <c r="F70" t="s">
        <v>293</v>
      </c>
      <c r="G70" t="s">
        <v>292</v>
      </c>
      <c r="H70" t="s">
        <v>293</v>
      </c>
      <c r="I70" t="s">
        <v>294</v>
      </c>
      <c r="J70" t="s">
        <v>292</v>
      </c>
    </row>
    <row r="71" spans="1:10" x14ac:dyDescent="0.35">
      <c r="A71" t="s">
        <v>29</v>
      </c>
      <c r="B71" t="s">
        <v>30</v>
      </c>
      <c r="C71" t="s">
        <v>306</v>
      </c>
      <c r="D71" t="s">
        <v>307</v>
      </c>
      <c r="E71" t="s">
        <v>306</v>
      </c>
      <c r="F71" t="s">
        <v>307</v>
      </c>
      <c r="G71" t="s">
        <v>306</v>
      </c>
      <c r="H71" t="s">
        <v>307</v>
      </c>
      <c r="I71" t="s">
        <v>308</v>
      </c>
      <c r="J71" t="s">
        <v>306</v>
      </c>
    </row>
    <row r="72" spans="1:10" x14ac:dyDescent="0.35">
      <c r="A72" t="s">
        <v>29</v>
      </c>
      <c r="B72" t="s">
        <v>30</v>
      </c>
      <c r="C72" t="s">
        <v>318</v>
      </c>
      <c r="D72" t="s">
        <v>319</v>
      </c>
      <c r="E72" t="s">
        <v>318</v>
      </c>
      <c r="F72" t="s">
        <v>319</v>
      </c>
      <c r="G72" t="s">
        <v>318</v>
      </c>
      <c r="H72" t="s">
        <v>319</v>
      </c>
      <c r="I72" t="s">
        <v>320</v>
      </c>
      <c r="J72" t="s">
        <v>318</v>
      </c>
    </row>
    <row r="73" spans="1:10" x14ac:dyDescent="0.35">
      <c r="A73" t="s">
        <v>29</v>
      </c>
      <c r="B73" t="s">
        <v>30</v>
      </c>
      <c r="C73" t="s">
        <v>331</v>
      </c>
      <c r="D73" t="s">
        <v>332</v>
      </c>
      <c r="E73" t="s">
        <v>331</v>
      </c>
      <c r="F73" t="s">
        <v>332</v>
      </c>
      <c r="G73" t="s">
        <v>331</v>
      </c>
      <c r="H73" t="s">
        <v>332</v>
      </c>
      <c r="I73" t="s">
        <v>333</v>
      </c>
      <c r="J73" t="s">
        <v>331</v>
      </c>
    </row>
    <row r="74" spans="1:10" x14ac:dyDescent="0.35">
      <c r="A74" t="s">
        <v>34</v>
      </c>
      <c r="B74" t="s">
        <v>35</v>
      </c>
      <c r="C74" t="s">
        <v>112</v>
      </c>
      <c r="D74" t="s">
        <v>113</v>
      </c>
      <c r="E74" t="s">
        <v>112</v>
      </c>
      <c r="F74" t="s">
        <v>113</v>
      </c>
      <c r="G74" t="s">
        <v>112</v>
      </c>
      <c r="H74" t="s">
        <v>113</v>
      </c>
      <c r="I74" t="s">
        <v>114</v>
      </c>
      <c r="J74" t="s">
        <v>112</v>
      </c>
    </row>
    <row r="75" spans="1:10" x14ac:dyDescent="0.35">
      <c r="A75" t="s">
        <v>34</v>
      </c>
      <c r="B75" t="s">
        <v>35</v>
      </c>
      <c r="C75" t="s">
        <v>112</v>
      </c>
      <c r="D75" t="s">
        <v>113</v>
      </c>
      <c r="E75" t="s">
        <v>243</v>
      </c>
      <c r="F75" t="s">
        <v>244</v>
      </c>
      <c r="G75" t="s">
        <v>243</v>
      </c>
      <c r="H75" t="s">
        <v>244</v>
      </c>
      <c r="I75" t="s">
        <v>245</v>
      </c>
      <c r="J75" t="s">
        <v>243</v>
      </c>
    </row>
    <row r="76" spans="1:10" x14ac:dyDescent="0.35">
      <c r="A76" t="s">
        <v>34</v>
      </c>
      <c r="B76" t="s">
        <v>35</v>
      </c>
      <c r="C76" t="s">
        <v>36</v>
      </c>
      <c r="D76" t="s">
        <v>37</v>
      </c>
      <c r="E76" t="s">
        <v>275</v>
      </c>
      <c r="F76" t="s">
        <v>276</v>
      </c>
      <c r="G76" t="s">
        <v>351</v>
      </c>
      <c r="H76" t="s">
        <v>352</v>
      </c>
      <c r="I76" t="s">
        <v>339</v>
      </c>
      <c r="J76" t="s">
        <v>351</v>
      </c>
    </row>
    <row r="77" spans="1:10" x14ac:dyDescent="0.35">
      <c r="A77" t="s">
        <v>34</v>
      </c>
      <c r="B77" t="s">
        <v>35</v>
      </c>
      <c r="C77" t="s">
        <v>36</v>
      </c>
      <c r="D77" t="s">
        <v>37</v>
      </c>
      <c r="E77" t="s">
        <v>275</v>
      </c>
      <c r="F77" t="s">
        <v>276</v>
      </c>
      <c r="G77" t="s">
        <v>353</v>
      </c>
      <c r="H77" t="s">
        <v>354</v>
      </c>
      <c r="I77" t="s">
        <v>339</v>
      </c>
      <c r="J77" t="s">
        <v>353</v>
      </c>
    </row>
    <row r="78" spans="1:10" x14ac:dyDescent="0.35">
      <c r="A78" t="s">
        <v>34</v>
      </c>
      <c r="B78" t="s">
        <v>35</v>
      </c>
      <c r="C78" t="s">
        <v>36</v>
      </c>
      <c r="D78" t="s">
        <v>37</v>
      </c>
      <c r="E78" t="s">
        <v>38</v>
      </c>
      <c r="F78" t="s">
        <v>39</v>
      </c>
      <c r="G78" t="s">
        <v>38</v>
      </c>
      <c r="H78" t="s">
        <v>39</v>
      </c>
      <c r="I78" t="s">
        <v>40</v>
      </c>
      <c r="J78" t="s">
        <v>38</v>
      </c>
    </row>
    <row r="79" spans="1:10" x14ac:dyDescent="0.35">
      <c r="A79" t="s">
        <v>34</v>
      </c>
      <c r="B79" t="s">
        <v>35</v>
      </c>
      <c r="C79" t="s">
        <v>36</v>
      </c>
      <c r="D79" t="s">
        <v>37</v>
      </c>
      <c r="E79" t="s">
        <v>49</v>
      </c>
      <c r="F79" t="s">
        <v>50</v>
      </c>
      <c r="G79" t="s">
        <v>51</v>
      </c>
      <c r="H79" t="s">
        <v>52</v>
      </c>
      <c r="I79" t="s">
        <v>53</v>
      </c>
      <c r="J79" t="s">
        <v>51</v>
      </c>
    </row>
    <row r="80" spans="1:10" x14ac:dyDescent="0.35">
      <c r="A80" t="s">
        <v>34</v>
      </c>
      <c r="B80" t="s">
        <v>35</v>
      </c>
      <c r="C80" t="s">
        <v>36</v>
      </c>
      <c r="D80" t="s">
        <v>37</v>
      </c>
      <c r="E80" t="s">
        <v>54</v>
      </c>
      <c r="F80" t="s">
        <v>55</v>
      </c>
      <c r="G80" t="s">
        <v>54</v>
      </c>
      <c r="H80" t="s">
        <v>55</v>
      </c>
      <c r="I80" t="s">
        <v>56</v>
      </c>
      <c r="J80" t="s">
        <v>54</v>
      </c>
    </row>
    <row r="81" spans="1:10" x14ac:dyDescent="0.35">
      <c r="A81" t="s">
        <v>34</v>
      </c>
      <c r="B81" t="s">
        <v>35</v>
      </c>
      <c r="C81" t="s">
        <v>36</v>
      </c>
      <c r="D81" t="s">
        <v>37</v>
      </c>
      <c r="E81" t="s">
        <v>49</v>
      </c>
      <c r="F81" t="s">
        <v>151</v>
      </c>
      <c r="G81" t="s">
        <v>347</v>
      </c>
      <c r="H81" t="s">
        <v>348</v>
      </c>
      <c r="I81" t="s">
        <v>339</v>
      </c>
      <c r="J81" t="s">
        <v>347</v>
      </c>
    </row>
    <row r="82" spans="1:10" x14ac:dyDescent="0.35">
      <c r="A82" t="s">
        <v>34</v>
      </c>
      <c r="B82" t="s">
        <v>35</v>
      </c>
      <c r="C82" t="s">
        <v>36</v>
      </c>
      <c r="D82" t="s">
        <v>37</v>
      </c>
      <c r="E82" t="s">
        <v>61</v>
      </c>
      <c r="F82" t="s">
        <v>62</v>
      </c>
      <c r="G82" t="s">
        <v>61</v>
      </c>
      <c r="H82" t="s">
        <v>62</v>
      </c>
      <c r="I82" t="s">
        <v>63</v>
      </c>
      <c r="J82" t="s">
        <v>61</v>
      </c>
    </row>
    <row r="83" spans="1:10" x14ac:dyDescent="0.35">
      <c r="A83" t="s">
        <v>34</v>
      </c>
      <c r="B83" t="s">
        <v>35</v>
      </c>
      <c r="C83" t="s">
        <v>36</v>
      </c>
      <c r="D83" t="s">
        <v>37</v>
      </c>
      <c r="E83" t="s">
        <v>49</v>
      </c>
      <c r="F83" t="s">
        <v>50</v>
      </c>
      <c r="G83" t="s">
        <v>67</v>
      </c>
      <c r="H83" t="s">
        <v>68</v>
      </c>
      <c r="I83" t="s">
        <v>69</v>
      </c>
      <c r="J83" t="s">
        <v>67</v>
      </c>
    </row>
    <row r="84" spans="1:10" x14ac:dyDescent="0.35">
      <c r="A84" t="s">
        <v>34</v>
      </c>
      <c r="B84" t="s">
        <v>35</v>
      </c>
      <c r="C84" t="s">
        <v>36</v>
      </c>
      <c r="D84" t="s">
        <v>37</v>
      </c>
      <c r="E84" t="s">
        <v>49</v>
      </c>
      <c r="F84" t="s">
        <v>151</v>
      </c>
      <c r="G84" t="s">
        <v>349</v>
      </c>
      <c r="H84" t="s">
        <v>350</v>
      </c>
      <c r="I84" t="s">
        <v>339</v>
      </c>
      <c r="J84" t="s">
        <v>349</v>
      </c>
    </row>
    <row r="85" spans="1:10" x14ac:dyDescent="0.35">
      <c r="A85" t="s">
        <v>34</v>
      </c>
      <c r="B85" t="s">
        <v>35</v>
      </c>
      <c r="C85" t="s">
        <v>36</v>
      </c>
      <c r="D85" t="s">
        <v>37</v>
      </c>
      <c r="E85" t="s">
        <v>61</v>
      </c>
      <c r="F85" t="s">
        <v>62</v>
      </c>
      <c r="G85" t="s">
        <v>97</v>
      </c>
      <c r="H85" t="s">
        <v>98</v>
      </c>
      <c r="I85" t="s">
        <v>99</v>
      </c>
      <c r="J85" t="s">
        <v>97</v>
      </c>
    </row>
    <row r="86" spans="1:10" x14ac:dyDescent="0.35">
      <c r="A86" t="s">
        <v>34</v>
      </c>
      <c r="B86" t="s">
        <v>35</v>
      </c>
      <c r="C86" t="s">
        <v>36</v>
      </c>
      <c r="D86" t="s">
        <v>37</v>
      </c>
      <c r="E86" t="s">
        <v>100</v>
      </c>
      <c r="F86" t="s">
        <v>101</v>
      </c>
      <c r="G86" t="s">
        <v>100</v>
      </c>
      <c r="H86" t="s">
        <v>101</v>
      </c>
      <c r="I86" t="s">
        <v>102</v>
      </c>
      <c r="J86" t="s">
        <v>100</v>
      </c>
    </row>
    <row r="87" spans="1:10" x14ac:dyDescent="0.35">
      <c r="A87" t="s">
        <v>34</v>
      </c>
      <c r="B87" t="s">
        <v>35</v>
      </c>
      <c r="C87" t="s">
        <v>36</v>
      </c>
      <c r="D87" t="s">
        <v>37</v>
      </c>
      <c r="E87" t="s">
        <v>275</v>
      </c>
      <c r="F87" t="s">
        <v>276</v>
      </c>
      <c r="G87" t="s">
        <v>357</v>
      </c>
      <c r="H87" t="s">
        <v>358</v>
      </c>
      <c r="I87" t="s">
        <v>339</v>
      </c>
      <c r="J87" t="s">
        <v>357</v>
      </c>
    </row>
    <row r="88" spans="1:10" x14ac:dyDescent="0.35">
      <c r="A88" t="s">
        <v>34</v>
      </c>
      <c r="B88" t="s">
        <v>35</v>
      </c>
      <c r="C88" t="s">
        <v>36</v>
      </c>
      <c r="D88" t="s">
        <v>37</v>
      </c>
      <c r="E88" t="s">
        <v>275</v>
      </c>
      <c r="F88" t="s">
        <v>276</v>
      </c>
      <c r="G88" t="s">
        <v>355</v>
      </c>
      <c r="H88" t="s">
        <v>356</v>
      </c>
      <c r="I88" t="s">
        <v>339</v>
      </c>
      <c r="J88" t="s">
        <v>355</v>
      </c>
    </row>
    <row r="89" spans="1:10" x14ac:dyDescent="0.35">
      <c r="A89" t="s">
        <v>34</v>
      </c>
      <c r="B89" t="s">
        <v>35</v>
      </c>
      <c r="C89" t="s">
        <v>36</v>
      </c>
      <c r="D89" t="s">
        <v>37</v>
      </c>
      <c r="E89" t="s">
        <v>49</v>
      </c>
      <c r="F89" t="s">
        <v>151</v>
      </c>
      <c r="G89" t="s">
        <v>49</v>
      </c>
      <c r="H89" t="s">
        <v>151</v>
      </c>
      <c r="I89" t="s">
        <v>152</v>
      </c>
      <c r="J89" t="s">
        <v>49</v>
      </c>
    </row>
    <row r="90" spans="1:10" x14ac:dyDescent="0.35">
      <c r="A90" t="s">
        <v>34</v>
      </c>
      <c r="B90" t="s">
        <v>35</v>
      </c>
      <c r="C90" t="s">
        <v>36</v>
      </c>
      <c r="D90" t="s">
        <v>37</v>
      </c>
      <c r="E90" t="s">
        <v>153</v>
      </c>
      <c r="F90" t="s">
        <v>154</v>
      </c>
      <c r="G90" t="s">
        <v>153</v>
      </c>
      <c r="H90" t="s">
        <v>154</v>
      </c>
      <c r="I90" t="s">
        <v>155</v>
      </c>
      <c r="J90" t="s">
        <v>153</v>
      </c>
    </row>
    <row r="91" spans="1:10" x14ac:dyDescent="0.35">
      <c r="A91" t="s">
        <v>34</v>
      </c>
      <c r="B91" t="s">
        <v>35</v>
      </c>
      <c r="C91" t="s">
        <v>36</v>
      </c>
      <c r="D91" t="s">
        <v>37</v>
      </c>
      <c r="E91" t="s">
        <v>177</v>
      </c>
      <c r="F91" t="s">
        <v>178</v>
      </c>
      <c r="G91" t="s">
        <v>177</v>
      </c>
      <c r="H91" t="s">
        <v>178</v>
      </c>
      <c r="I91" t="s">
        <v>179</v>
      </c>
      <c r="J91" t="s">
        <v>177</v>
      </c>
    </row>
    <row r="92" spans="1:10" x14ac:dyDescent="0.35">
      <c r="A92" t="s">
        <v>34</v>
      </c>
      <c r="B92" t="s">
        <v>35</v>
      </c>
      <c r="C92" t="s">
        <v>36</v>
      </c>
      <c r="D92" t="s">
        <v>37</v>
      </c>
      <c r="E92" t="s">
        <v>190</v>
      </c>
      <c r="F92" t="s">
        <v>191</v>
      </c>
      <c r="G92" t="s">
        <v>190</v>
      </c>
      <c r="H92" t="s">
        <v>191</v>
      </c>
      <c r="I92" t="s">
        <v>192</v>
      </c>
      <c r="J92" t="s">
        <v>190</v>
      </c>
    </row>
    <row r="93" spans="1:10" x14ac:dyDescent="0.35">
      <c r="A93" t="s">
        <v>34</v>
      </c>
      <c r="B93" t="s">
        <v>35</v>
      </c>
      <c r="C93" t="s">
        <v>36</v>
      </c>
      <c r="D93" t="s">
        <v>37</v>
      </c>
      <c r="E93" t="s">
        <v>49</v>
      </c>
      <c r="F93" t="s">
        <v>151</v>
      </c>
      <c r="G93" t="s">
        <v>215</v>
      </c>
      <c r="H93" t="s">
        <v>216</v>
      </c>
      <c r="I93" t="s">
        <v>217</v>
      </c>
      <c r="J93" t="s">
        <v>215</v>
      </c>
    </row>
    <row r="94" spans="1:10" x14ac:dyDescent="0.35">
      <c r="A94" t="s">
        <v>34</v>
      </c>
      <c r="B94" t="s">
        <v>35</v>
      </c>
      <c r="C94" t="s">
        <v>36</v>
      </c>
      <c r="D94" t="s">
        <v>37</v>
      </c>
      <c r="E94" t="s">
        <v>229</v>
      </c>
      <c r="F94" t="s">
        <v>230</v>
      </c>
      <c r="G94" t="s">
        <v>229</v>
      </c>
      <c r="H94" t="s">
        <v>230</v>
      </c>
      <c r="I94" t="s">
        <v>231</v>
      </c>
      <c r="J94" t="s">
        <v>229</v>
      </c>
    </row>
    <row r="95" spans="1:10" x14ac:dyDescent="0.35">
      <c r="A95" t="s">
        <v>34</v>
      </c>
      <c r="B95" t="s">
        <v>35</v>
      </c>
      <c r="C95" t="s">
        <v>36</v>
      </c>
      <c r="D95" t="s">
        <v>37</v>
      </c>
      <c r="E95" t="s">
        <v>275</v>
      </c>
      <c r="F95" t="s">
        <v>276</v>
      </c>
      <c r="G95" t="s">
        <v>275</v>
      </c>
      <c r="H95" t="s">
        <v>276</v>
      </c>
      <c r="I95" t="s">
        <v>277</v>
      </c>
      <c r="J95" t="s">
        <v>275</v>
      </c>
    </row>
    <row r="96" spans="1:10" x14ac:dyDescent="0.35">
      <c r="A96" t="s">
        <v>34</v>
      </c>
      <c r="B96" t="s">
        <v>35</v>
      </c>
      <c r="C96" t="s">
        <v>36</v>
      </c>
      <c r="D96" t="s">
        <v>37</v>
      </c>
      <c r="E96" t="s">
        <v>284</v>
      </c>
      <c r="F96" t="s">
        <v>285</v>
      </c>
      <c r="G96" t="s">
        <v>284</v>
      </c>
      <c r="H96" t="s">
        <v>285</v>
      </c>
      <c r="I96" t="s">
        <v>286</v>
      </c>
      <c r="J96" t="s">
        <v>284</v>
      </c>
    </row>
    <row r="97" spans="1:10" x14ac:dyDescent="0.35">
      <c r="A97" t="s">
        <v>34</v>
      </c>
      <c r="B97" t="s">
        <v>35</v>
      </c>
      <c r="C97" t="s">
        <v>36</v>
      </c>
      <c r="D97" t="s">
        <v>37</v>
      </c>
      <c r="E97" t="s">
        <v>36</v>
      </c>
      <c r="F97" t="s">
        <v>37</v>
      </c>
      <c r="G97" t="s">
        <v>36</v>
      </c>
      <c r="H97" t="s">
        <v>37</v>
      </c>
      <c r="I97" t="s">
        <v>324</v>
      </c>
      <c r="J97" t="s">
        <v>36</v>
      </c>
    </row>
    <row r="98" spans="1:10" x14ac:dyDescent="0.35">
      <c r="A98" t="s">
        <v>196</v>
      </c>
      <c r="B98" t="s">
        <v>197</v>
      </c>
      <c r="C98" t="s">
        <v>198</v>
      </c>
      <c r="D98" t="s">
        <v>199</v>
      </c>
      <c r="E98" t="s">
        <v>198</v>
      </c>
      <c r="F98" t="s">
        <v>199</v>
      </c>
      <c r="G98" t="s">
        <v>198</v>
      </c>
      <c r="H98" t="s">
        <v>199</v>
      </c>
      <c r="I98" t="s">
        <v>200</v>
      </c>
      <c r="J98" t="s">
        <v>198</v>
      </c>
    </row>
    <row r="99" spans="1:10" x14ac:dyDescent="0.35">
      <c r="A99" t="s">
        <v>218</v>
      </c>
      <c r="B99" t="s">
        <v>219</v>
      </c>
      <c r="C99" t="s">
        <v>220</v>
      </c>
      <c r="D99" t="s">
        <v>221</v>
      </c>
      <c r="E99" t="s">
        <v>220</v>
      </c>
      <c r="F99" t="s">
        <v>221</v>
      </c>
      <c r="G99" t="s">
        <v>220</v>
      </c>
      <c r="H99" t="s">
        <v>221</v>
      </c>
      <c r="I99" t="s">
        <v>222</v>
      </c>
      <c r="J99" t="s">
        <v>220</v>
      </c>
    </row>
    <row r="100" spans="1:10" x14ac:dyDescent="0.35">
      <c r="A100" t="s">
        <v>218</v>
      </c>
      <c r="B100" t="s">
        <v>219</v>
      </c>
      <c r="C100" t="s">
        <v>325</v>
      </c>
      <c r="D100" t="s">
        <v>326</v>
      </c>
      <c r="E100" t="s">
        <v>325</v>
      </c>
      <c r="F100" t="s">
        <v>326</v>
      </c>
      <c r="G100" t="s">
        <v>325</v>
      </c>
      <c r="H100" t="s">
        <v>326</v>
      </c>
      <c r="I100" t="s">
        <v>327</v>
      </c>
      <c r="J100" t="s">
        <v>325</v>
      </c>
    </row>
    <row r="101" spans="1:10" x14ac:dyDescent="0.35">
      <c r="A101" t="s">
        <v>125</v>
      </c>
      <c r="B101" t="s">
        <v>126</v>
      </c>
      <c r="C101" t="s">
        <v>127</v>
      </c>
      <c r="D101" t="s">
        <v>128</v>
      </c>
      <c r="E101" t="s">
        <v>127</v>
      </c>
      <c r="F101" t="s">
        <v>128</v>
      </c>
      <c r="G101" t="s">
        <v>127</v>
      </c>
      <c r="H101" t="s">
        <v>128</v>
      </c>
      <c r="I101" t="s">
        <v>129</v>
      </c>
      <c r="J101" t="s">
        <v>127</v>
      </c>
    </row>
    <row r="102" spans="1:10" x14ac:dyDescent="0.35">
      <c r="A102" t="s">
        <v>125</v>
      </c>
      <c r="B102" t="s">
        <v>126</v>
      </c>
      <c r="C102" t="s">
        <v>281</v>
      </c>
      <c r="D102" t="s">
        <v>282</v>
      </c>
      <c r="E102" t="s">
        <v>281</v>
      </c>
      <c r="F102" t="s">
        <v>282</v>
      </c>
      <c r="G102" t="s">
        <v>281</v>
      </c>
      <c r="H102" t="s">
        <v>282</v>
      </c>
      <c r="I102" t="s">
        <v>283</v>
      </c>
      <c r="J102" t="s">
        <v>281</v>
      </c>
    </row>
    <row r="103" spans="1:10" x14ac:dyDescent="0.35">
      <c r="A103" t="s">
        <v>87</v>
      </c>
      <c r="B103" t="s">
        <v>88</v>
      </c>
      <c r="C103" t="s">
        <v>89</v>
      </c>
      <c r="D103" t="s">
        <v>90</v>
      </c>
      <c r="E103" t="s">
        <v>91</v>
      </c>
      <c r="F103" t="s">
        <v>92</v>
      </c>
      <c r="G103" t="s">
        <v>91</v>
      </c>
      <c r="H103" t="s">
        <v>92</v>
      </c>
      <c r="I103" t="s">
        <v>93</v>
      </c>
      <c r="J103" t="s">
        <v>91</v>
      </c>
    </row>
    <row r="104" spans="1:10" x14ac:dyDescent="0.35">
      <c r="A104" t="s">
        <v>87</v>
      </c>
      <c r="B104" t="s">
        <v>88</v>
      </c>
      <c r="C104" t="s">
        <v>89</v>
      </c>
      <c r="D104" t="s">
        <v>90</v>
      </c>
      <c r="E104" t="s">
        <v>89</v>
      </c>
      <c r="F104" t="s">
        <v>90</v>
      </c>
      <c r="G104" t="s">
        <v>89</v>
      </c>
      <c r="H104" t="s">
        <v>90</v>
      </c>
      <c r="I104" t="s">
        <v>156</v>
      </c>
      <c r="J104" t="s">
        <v>89</v>
      </c>
    </row>
    <row r="105" spans="1:10" x14ac:dyDescent="0.35">
      <c r="A105" t="s">
        <v>87</v>
      </c>
      <c r="B105" t="s">
        <v>88</v>
      </c>
      <c r="C105" t="s">
        <v>278</v>
      </c>
      <c r="D105" t="s">
        <v>279</v>
      </c>
      <c r="E105" t="s">
        <v>278</v>
      </c>
      <c r="F105" t="s">
        <v>279</v>
      </c>
      <c r="G105" t="s">
        <v>278</v>
      </c>
      <c r="H105" t="s">
        <v>279</v>
      </c>
      <c r="I105" t="s">
        <v>280</v>
      </c>
      <c r="J105" t="s">
        <v>278</v>
      </c>
    </row>
    <row r="106" spans="1:10" x14ac:dyDescent="0.35">
      <c r="A106" t="s">
        <v>87</v>
      </c>
      <c r="B106" t="s">
        <v>88</v>
      </c>
      <c r="C106" t="s">
        <v>309</v>
      </c>
      <c r="D106" t="s">
        <v>310</v>
      </c>
      <c r="E106" t="s">
        <v>309</v>
      </c>
      <c r="F106" t="s">
        <v>310</v>
      </c>
      <c r="G106" t="s">
        <v>309</v>
      </c>
      <c r="H106" t="s">
        <v>310</v>
      </c>
      <c r="I106" t="s">
        <v>311</v>
      </c>
      <c r="J106" t="s">
        <v>309</v>
      </c>
    </row>
    <row r="107" spans="1:10" x14ac:dyDescent="0.35">
      <c r="A107" t="s">
        <v>87</v>
      </c>
      <c r="B107" t="s">
        <v>88</v>
      </c>
      <c r="C107" t="s">
        <v>312</v>
      </c>
      <c r="D107" t="s">
        <v>313</v>
      </c>
      <c r="E107" t="s">
        <v>312</v>
      </c>
      <c r="F107" t="s">
        <v>313</v>
      </c>
      <c r="G107" t="s">
        <v>312</v>
      </c>
      <c r="H107" t="s">
        <v>313</v>
      </c>
      <c r="I107" t="s">
        <v>314</v>
      </c>
      <c r="J107" t="s">
        <v>312</v>
      </c>
    </row>
    <row r="108" spans="1:10" x14ac:dyDescent="0.35">
      <c r="A108" t="s">
        <v>301</v>
      </c>
      <c r="B108" t="s">
        <v>302</v>
      </c>
      <c r="C108" t="s">
        <v>303</v>
      </c>
      <c r="D108" t="s">
        <v>304</v>
      </c>
      <c r="E108" t="s">
        <v>303</v>
      </c>
      <c r="F108" t="s">
        <v>304</v>
      </c>
      <c r="G108" t="s">
        <v>303</v>
      </c>
      <c r="H108" t="s">
        <v>304</v>
      </c>
      <c r="I108" t="s">
        <v>305</v>
      </c>
      <c r="J108" t="s">
        <v>303</v>
      </c>
    </row>
    <row r="109" spans="1:10" x14ac:dyDescent="0.35">
      <c r="A109" t="s">
        <v>301</v>
      </c>
      <c r="B109" t="s">
        <v>302</v>
      </c>
      <c r="C109" t="s">
        <v>328</v>
      </c>
      <c r="D109" t="s">
        <v>329</v>
      </c>
      <c r="E109" t="s">
        <v>328</v>
      </c>
      <c r="F109" t="s">
        <v>329</v>
      </c>
      <c r="G109" t="s">
        <v>328</v>
      </c>
      <c r="H109" t="s">
        <v>329</v>
      </c>
      <c r="I109" t="s">
        <v>330</v>
      </c>
      <c r="J109" t="s">
        <v>328</v>
      </c>
    </row>
    <row r="110" spans="1:10" x14ac:dyDescent="0.35">
      <c r="A110" t="s">
        <v>287</v>
      </c>
      <c r="B110" t="s">
        <v>288</v>
      </c>
      <c r="C110" t="s">
        <v>289</v>
      </c>
      <c r="D110" t="s">
        <v>290</v>
      </c>
      <c r="E110" t="s">
        <v>289</v>
      </c>
      <c r="F110" t="s">
        <v>290</v>
      </c>
      <c r="G110" t="s">
        <v>289</v>
      </c>
      <c r="H110" t="s">
        <v>290</v>
      </c>
      <c r="I110" t="s">
        <v>291</v>
      </c>
      <c r="J110" t="s">
        <v>289</v>
      </c>
    </row>
    <row r="111" spans="1:10" x14ac:dyDescent="0.35">
      <c r="A111" t="s">
        <v>287</v>
      </c>
      <c r="B111" t="s">
        <v>288</v>
      </c>
      <c r="C111" t="s">
        <v>321</v>
      </c>
      <c r="D111" t="s">
        <v>322</v>
      </c>
      <c r="E111" t="s">
        <v>321</v>
      </c>
      <c r="F111" t="s">
        <v>322</v>
      </c>
      <c r="G111" t="s">
        <v>321</v>
      </c>
      <c r="H111" t="s">
        <v>322</v>
      </c>
      <c r="I111" t="s">
        <v>323</v>
      </c>
      <c r="J111" t="s">
        <v>321</v>
      </c>
    </row>
  </sheetData>
  <sortState xmlns:xlrd2="http://schemas.microsoft.com/office/spreadsheetml/2017/richdata2" ref="A2:J111">
    <sortCondition ref="A2:A111"/>
    <sortCondition ref="C2:C111"/>
    <sortCondition ref="G2:G1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topLeftCell="E1" workbookViewId="0">
      <selection activeCell="J1" sqref="J1:L15"/>
    </sheetView>
  </sheetViews>
  <sheetFormatPr defaultRowHeight="14.5" x14ac:dyDescent="0.35"/>
  <cols>
    <col min="1" max="1" width="15.54296875" bestFit="1" customWidth="1"/>
    <col min="2" max="2" width="27.6328125" bestFit="1" customWidth="1"/>
    <col min="3" max="3" width="13.7265625" bestFit="1" customWidth="1"/>
    <col min="4" max="4" width="5.6328125" bestFit="1" customWidth="1"/>
    <col min="5" max="5" width="5.6328125" customWidth="1"/>
    <col min="6" max="6" width="13.7265625" bestFit="1" customWidth="1"/>
    <col min="7" max="7" width="18.54296875" bestFit="1" customWidth="1"/>
    <col min="8" max="8" width="9.6328125" bestFit="1" customWidth="1"/>
    <col min="9" max="9" width="2.08984375" customWidth="1"/>
    <col min="10" max="10" width="11.08984375" bestFit="1" customWidth="1"/>
    <col min="11" max="11" width="25.453125" bestFit="1" customWidth="1"/>
    <col min="12" max="12" width="9.6328125" bestFit="1" customWidth="1"/>
    <col min="13" max="13" width="1.6328125" customWidth="1"/>
    <col min="15" max="15" width="13.7265625" bestFit="1" customWidth="1"/>
  </cols>
  <sheetData>
    <row r="1" spans="1:19" x14ac:dyDescent="0.35">
      <c r="A1" t="s">
        <v>359</v>
      </c>
      <c r="B1" t="s">
        <v>363</v>
      </c>
      <c r="C1" t="s">
        <v>361</v>
      </c>
      <c r="D1" t="s">
        <v>371</v>
      </c>
      <c r="F1" t="s">
        <v>360</v>
      </c>
      <c r="G1" t="s">
        <v>366</v>
      </c>
      <c r="H1" t="s">
        <v>361</v>
      </c>
      <c r="J1" t="s">
        <v>362</v>
      </c>
      <c r="K1" t="s">
        <v>367</v>
      </c>
      <c r="L1" t="s">
        <v>361</v>
      </c>
      <c r="N1" t="s">
        <v>368</v>
      </c>
    </row>
    <row r="2" spans="1:19" x14ac:dyDescent="0.35">
      <c r="A2" t="s">
        <v>70</v>
      </c>
      <c r="B2" t="s">
        <v>71</v>
      </c>
      <c r="C2" t="s">
        <v>364</v>
      </c>
      <c r="D2" t="b">
        <v>0</v>
      </c>
      <c r="F2" t="s">
        <v>17</v>
      </c>
      <c r="G2" t="s">
        <v>18</v>
      </c>
      <c r="H2" t="s">
        <v>365</v>
      </c>
      <c r="J2" t="s">
        <v>21</v>
      </c>
      <c r="K2" t="s">
        <v>22</v>
      </c>
      <c r="L2" t="s">
        <v>370</v>
      </c>
      <c r="N2" t="s">
        <v>301</v>
      </c>
      <c r="O2" t="s">
        <v>302</v>
      </c>
      <c r="P2" t="s">
        <v>364</v>
      </c>
      <c r="Q2" t="s">
        <v>303</v>
      </c>
      <c r="R2" t="s">
        <v>304</v>
      </c>
      <c r="S2" t="s">
        <v>365</v>
      </c>
    </row>
    <row r="3" spans="1:19" x14ac:dyDescent="0.35">
      <c r="A3" t="s">
        <v>10</v>
      </c>
      <c r="B3" t="s">
        <v>11</v>
      </c>
      <c r="C3" t="s">
        <v>364</v>
      </c>
      <c r="D3" t="b">
        <v>0</v>
      </c>
      <c r="F3" t="s">
        <v>81</v>
      </c>
      <c r="G3" t="s">
        <v>82</v>
      </c>
      <c r="H3" t="s">
        <v>365</v>
      </c>
      <c r="J3" t="s">
        <v>26</v>
      </c>
      <c r="K3" t="s">
        <v>27</v>
      </c>
      <c r="L3" t="s">
        <v>370</v>
      </c>
      <c r="N3" t="s">
        <v>301</v>
      </c>
      <c r="O3" t="s">
        <v>302</v>
      </c>
      <c r="P3" t="s">
        <v>364</v>
      </c>
      <c r="Q3" t="s">
        <v>328</v>
      </c>
      <c r="R3" t="s">
        <v>329</v>
      </c>
      <c r="S3" t="s">
        <v>365</v>
      </c>
    </row>
    <row r="4" spans="1:19" x14ac:dyDescent="0.35">
      <c r="A4" t="s">
        <v>29</v>
      </c>
      <c r="B4" t="s">
        <v>30</v>
      </c>
      <c r="C4" t="s">
        <v>364</v>
      </c>
      <c r="D4" t="b">
        <v>0</v>
      </c>
      <c r="F4" t="s">
        <v>12</v>
      </c>
      <c r="G4" t="s">
        <v>13</v>
      </c>
      <c r="H4" t="s">
        <v>365</v>
      </c>
      <c r="J4" t="s">
        <v>203</v>
      </c>
      <c r="K4" t="s">
        <v>204</v>
      </c>
      <c r="L4" t="s">
        <v>370</v>
      </c>
      <c r="N4" t="s">
        <v>287</v>
      </c>
      <c r="O4" t="s">
        <v>288</v>
      </c>
      <c r="P4" t="s">
        <v>364</v>
      </c>
    </row>
    <row r="5" spans="1:19" x14ac:dyDescent="0.35">
      <c r="A5" t="s">
        <v>34</v>
      </c>
      <c r="B5" t="s">
        <v>35</v>
      </c>
      <c r="C5" t="s">
        <v>364</v>
      </c>
      <c r="D5" t="b">
        <v>0</v>
      </c>
      <c r="F5" t="s">
        <v>130</v>
      </c>
      <c r="G5" t="s">
        <v>131</v>
      </c>
      <c r="H5" t="s">
        <v>365</v>
      </c>
      <c r="J5" t="s">
        <v>206</v>
      </c>
      <c r="K5" t="s">
        <v>207</v>
      </c>
      <c r="L5" t="s">
        <v>370</v>
      </c>
      <c r="N5" t="s">
        <v>125</v>
      </c>
      <c r="O5" t="s">
        <v>126</v>
      </c>
      <c r="P5" t="s">
        <v>364</v>
      </c>
    </row>
    <row r="6" spans="1:19" x14ac:dyDescent="0.35">
      <c r="A6" t="s">
        <v>196</v>
      </c>
      <c r="B6" t="s">
        <v>197</v>
      </c>
      <c r="C6" t="s">
        <v>364</v>
      </c>
      <c r="D6" t="b">
        <v>0</v>
      </c>
      <c r="F6" t="s">
        <v>133</v>
      </c>
      <c r="G6" t="s">
        <v>134</v>
      </c>
      <c r="H6" t="s">
        <v>365</v>
      </c>
      <c r="J6" t="s">
        <v>209</v>
      </c>
      <c r="K6" t="s">
        <v>210</v>
      </c>
      <c r="L6" t="s">
        <v>370</v>
      </c>
      <c r="N6" t="s">
        <v>289</v>
      </c>
      <c r="O6" t="s">
        <v>290</v>
      </c>
      <c r="P6" t="s">
        <v>365</v>
      </c>
    </row>
    <row r="7" spans="1:19" x14ac:dyDescent="0.35">
      <c r="A7" t="s">
        <v>218</v>
      </c>
      <c r="B7" t="s">
        <v>219</v>
      </c>
      <c r="C7" t="s">
        <v>364</v>
      </c>
      <c r="D7" t="b">
        <v>0</v>
      </c>
      <c r="F7" t="s">
        <v>44</v>
      </c>
      <c r="G7" t="s">
        <v>45</v>
      </c>
      <c r="H7" t="s">
        <v>365</v>
      </c>
      <c r="J7" t="s">
        <v>341</v>
      </c>
      <c r="K7" t="s">
        <v>342</v>
      </c>
      <c r="L7" t="s">
        <v>370</v>
      </c>
      <c r="N7" t="s">
        <v>321</v>
      </c>
      <c r="O7" t="s">
        <v>322</v>
      </c>
      <c r="P7" t="s">
        <v>365</v>
      </c>
    </row>
    <row r="8" spans="1:19" x14ac:dyDescent="0.35">
      <c r="A8" t="s">
        <v>87</v>
      </c>
      <c r="B8" t="s">
        <v>88</v>
      </c>
      <c r="C8" t="s">
        <v>364</v>
      </c>
      <c r="D8" t="b">
        <v>0</v>
      </c>
      <c r="F8" t="s">
        <v>24</v>
      </c>
      <c r="G8" t="s">
        <v>25</v>
      </c>
      <c r="H8" t="s">
        <v>365</v>
      </c>
      <c r="J8" t="s">
        <v>234</v>
      </c>
      <c r="K8" t="s">
        <v>235</v>
      </c>
      <c r="L8" t="s">
        <v>370</v>
      </c>
      <c r="N8" t="s">
        <v>127</v>
      </c>
      <c r="O8" t="s">
        <v>128</v>
      </c>
      <c r="P8" t="s">
        <v>365</v>
      </c>
    </row>
    <row r="9" spans="1:19" x14ac:dyDescent="0.35">
      <c r="A9" t="s">
        <v>31</v>
      </c>
      <c r="B9" t="s">
        <v>32</v>
      </c>
      <c r="C9" t="s">
        <v>365</v>
      </c>
      <c r="D9" t="b">
        <v>0</v>
      </c>
      <c r="J9" t="s">
        <v>237</v>
      </c>
      <c r="K9" t="s">
        <v>238</v>
      </c>
      <c r="L9" t="s">
        <v>370</v>
      </c>
      <c r="N9" t="s">
        <v>281</v>
      </c>
      <c r="O9" t="s">
        <v>282</v>
      </c>
      <c r="P9" t="s">
        <v>365</v>
      </c>
    </row>
    <row r="10" spans="1:19" x14ac:dyDescent="0.35">
      <c r="A10" t="s">
        <v>334</v>
      </c>
      <c r="B10" t="s">
        <v>335</v>
      </c>
      <c r="C10" t="s">
        <v>365</v>
      </c>
      <c r="D10" t="b">
        <v>0</v>
      </c>
      <c r="J10" t="s">
        <v>240</v>
      </c>
      <c r="K10" t="s">
        <v>241</v>
      </c>
      <c r="L10" t="s">
        <v>370</v>
      </c>
      <c r="N10" t="s">
        <v>89</v>
      </c>
      <c r="O10" t="s">
        <v>90</v>
      </c>
      <c r="P10" t="s">
        <v>365</v>
      </c>
    </row>
    <row r="11" spans="1:19" x14ac:dyDescent="0.35">
      <c r="A11" t="s">
        <v>57</v>
      </c>
      <c r="B11" t="s">
        <v>58</v>
      </c>
      <c r="C11" t="s">
        <v>365</v>
      </c>
      <c r="D11" t="b">
        <v>0</v>
      </c>
      <c r="J11" t="s">
        <v>257</v>
      </c>
      <c r="K11" t="s">
        <v>258</v>
      </c>
      <c r="L11" t="s">
        <v>370</v>
      </c>
      <c r="N11" t="s">
        <v>278</v>
      </c>
      <c r="O11" t="s">
        <v>279</v>
      </c>
      <c r="P11" t="s">
        <v>365</v>
      </c>
    </row>
    <row r="12" spans="1:19" x14ac:dyDescent="0.35">
      <c r="A12" t="s">
        <v>64</v>
      </c>
      <c r="B12" t="s">
        <v>65</v>
      </c>
      <c r="C12" t="s">
        <v>365</v>
      </c>
      <c r="D12" t="b">
        <v>0</v>
      </c>
      <c r="J12" t="s">
        <v>263</v>
      </c>
      <c r="K12" t="s">
        <v>264</v>
      </c>
      <c r="L12" t="s">
        <v>370</v>
      </c>
    </row>
    <row r="13" spans="1:19" x14ac:dyDescent="0.35">
      <c r="A13" t="s">
        <v>72</v>
      </c>
      <c r="B13" t="s">
        <v>73</v>
      </c>
      <c r="C13" t="s">
        <v>365</v>
      </c>
      <c r="D13" t="b">
        <v>0</v>
      </c>
      <c r="J13" t="s">
        <v>266</v>
      </c>
      <c r="K13" t="s">
        <v>267</v>
      </c>
      <c r="L13" t="s">
        <v>370</v>
      </c>
    </row>
    <row r="14" spans="1:19" x14ac:dyDescent="0.35">
      <c r="A14" t="s">
        <v>75</v>
      </c>
      <c r="B14" t="s">
        <v>76</v>
      </c>
      <c r="C14" t="s">
        <v>365</v>
      </c>
      <c r="D14" t="b">
        <v>0</v>
      </c>
      <c r="J14" t="s">
        <v>269</v>
      </c>
      <c r="K14" t="s">
        <v>270</v>
      </c>
      <c r="L14" t="s">
        <v>370</v>
      </c>
    </row>
    <row r="15" spans="1:19" x14ac:dyDescent="0.35">
      <c r="A15" t="s">
        <v>78</v>
      </c>
      <c r="B15" t="s">
        <v>79</v>
      </c>
      <c r="C15" t="s">
        <v>365</v>
      </c>
      <c r="D15" t="b">
        <v>0</v>
      </c>
      <c r="J15" t="s">
        <v>345</v>
      </c>
      <c r="K15" t="s">
        <v>346</v>
      </c>
      <c r="L15" t="s">
        <v>370</v>
      </c>
    </row>
    <row r="16" spans="1:19" x14ac:dyDescent="0.35">
      <c r="A16" t="s">
        <v>112</v>
      </c>
      <c r="B16" t="s">
        <v>113</v>
      </c>
      <c r="C16" t="s">
        <v>365</v>
      </c>
      <c r="D16" t="b">
        <v>0</v>
      </c>
    </row>
    <row r="17" spans="1:4" x14ac:dyDescent="0.35">
      <c r="A17" t="s">
        <v>142</v>
      </c>
      <c r="B17" t="s">
        <v>143</v>
      </c>
      <c r="C17" t="s">
        <v>365</v>
      </c>
      <c r="D17" t="b">
        <v>0</v>
      </c>
    </row>
    <row r="18" spans="1:4" x14ac:dyDescent="0.35">
      <c r="A18" t="s">
        <v>198</v>
      </c>
      <c r="B18" t="s">
        <v>199</v>
      </c>
      <c r="C18" t="s">
        <v>365</v>
      </c>
      <c r="D18" t="b">
        <v>0</v>
      </c>
    </row>
    <row r="19" spans="1:4" x14ac:dyDescent="0.35">
      <c r="A19" t="s">
        <v>157</v>
      </c>
      <c r="B19" t="s">
        <v>158</v>
      </c>
      <c r="C19" t="s">
        <v>365</v>
      </c>
      <c r="D19" t="b">
        <v>0</v>
      </c>
    </row>
    <row r="20" spans="1:4" x14ac:dyDescent="0.35">
      <c r="A20" t="s">
        <v>220</v>
      </c>
      <c r="B20" t="s">
        <v>221</v>
      </c>
      <c r="C20" t="s">
        <v>365</v>
      </c>
      <c r="D20" t="b">
        <v>0</v>
      </c>
    </row>
    <row r="21" spans="1:4" x14ac:dyDescent="0.35">
      <c r="A21" t="s">
        <v>292</v>
      </c>
      <c r="B21" t="s">
        <v>293</v>
      </c>
      <c r="C21" t="s">
        <v>365</v>
      </c>
      <c r="D21" t="b">
        <v>0</v>
      </c>
    </row>
    <row r="22" spans="1:4" x14ac:dyDescent="0.35">
      <c r="A22" t="s">
        <v>306</v>
      </c>
      <c r="B22" t="s">
        <v>307</v>
      </c>
      <c r="C22" t="s">
        <v>365</v>
      </c>
      <c r="D22" t="b">
        <v>0</v>
      </c>
    </row>
    <row r="23" spans="1:4" x14ac:dyDescent="0.35">
      <c r="A23" t="s">
        <v>309</v>
      </c>
      <c r="B23" t="s">
        <v>310</v>
      </c>
      <c r="C23" t="s">
        <v>365</v>
      </c>
      <c r="D23" t="b">
        <v>0</v>
      </c>
    </row>
    <row r="24" spans="1:4" x14ac:dyDescent="0.35">
      <c r="A24" t="s">
        <v>312</v>
      </c>
      <c r="B24" t="s">
        <v>313</v>
      </c>
      <c r="C24" t="s">
        <v>365</v>
      </c>
      <c r="D24" t="b">
        <v>0</v>
      </c>
    </row>
    <row r="25" spans="1:4" x14ac:dyDescent="0.35">
      <c r="A25" t="s">
        <v>318</v>
      </c>
      <c r="B25" t="s">
        <v>319</v>
      </c>
      <c r="C25" t="s">
        <v>365</v>
      </c>
      <c r="D25" t="b">
        <v>0</v>
      </c>
    </row>
    <row r="26" spans="1:4" x14ac:dyDescent="0.35">
      <c r="A26" t="s">
        <v>36</v>
      </c>
      <c r="B26" t="s">
        <v>37</v>
      </c>
      <c r="C26" t="s">
        <v>365</v>
      </c>
      <c r="D26" t="b">
        <v>0</v>
      </c>
    </row>
    <row r="27" spans="1:4" x14ac:dyDescent="0.35">
      <c r="A27" t="s">
        <v>325</v>
      </c>
      <c r="B27" t="s">
        <v>326</v>
      </c>
      <c r="C27" t="s">
        <v>365</v>
      </c>
      <c r="D27" t="b">
        <v>0</v>
      </c>
    </row>
    <row r="28" spans="1:4" x14ac:dyDescent="0.35">
      <c r="A28" t="s">
        <v>331</v>
      </c>
      <c r="B28" t="s">
        <v>332</v>
      </c>
      <c r="C28" t="s">
        <v>365</v>
      </c>
      <c r="D28" t="b">
        <v>0</v>
      </c>
    </row>
    <row r="29" spans="1:4" x14ac:dyDescent="0.35">
      <c r="A29" t="s">
        <v>14</v>
      </c>
      <c r="B29" t="s">
        <v>15</v>
      </c>
      <c r="C29" t="s">
        <v>369</v>
      </c>
      <c r="D29" t="b">
        <v>0</v>
      </c>
    </row>
    <row r="30" spans="1:4" x14ac:dyDescent="0.35">
      <c r="A30" t="s">
        <v>19</v>
      </c>
      <c r="B30" t="s">
        <v>20</v>
      </c>
      <c r="C30" t="s">
        <v>369</v>
      </c>
      <c r="D30" t="b">
        <v>0</v>
      </c>
    </row>
    <row r="31" spans="1:4" x14ac:dyDescent="0.35">
      <c r="A31" t="s">
        <v>38</v>
      </c>
      <c r="B31" t="s">
        <v>39</v>
      </c>
      <c r="C31" t="s">
        <v>369</v>
      </c>
      <c r="D31" t="b">
        <v>0</v>
      </c>
    </row>
    <row r="32" spans="1:4" x14ac:dyDescent="0.35">
      <c r="A32" t="s">
        <v>41</v>
      </c>
      <c r="B32" t="s">
        <v>42</v>
      </c>
      <c r="C32" t="s">
        <v>369</v>
      </c>
      <c r="D32" t="b">
        <v>0</v>
      </c>
    </row>
    <row r="33" spans="1:4" x14ac:dyDescent="0.35">
      <c r="A33" t="s">
        <v>46</v>
      </c>
      <c r="B33" t="s">
        <v>47</v>
      </c>
      <c r="C33" t="s">
        <v>369</v>
      </c>
      <c r="D33" t="b">
        <v>0</v>
      </c>
    </row>
    <row r="34" spans="1:4" x14ac:dyDescent="0.35">
      <c r="A34" t="s">
        <v>54</v>
      </c>
      <c r="B34" t="s">
        <v>55</v>
      </c>
      <c r="C34" t="s">
        <v>369</v>
      </c>
      <c r="D34" t="b">
        <v>0</v>
      </c>
    </row>
    <row r="35" spans="1:4" x14ac:dyDescent="0.35">
      <c r="A35" t="s">
        <v>61</v>
      </c>
      <c r="B35" t="s">
        <v>62</v>
      </c>
      <c r="C35" t="s">
        <v>369</v>
      </c>
      <c r="D35" t="b">
        <v>0</v>
      </c>
    </row>
    <row r="36" spans="1:4" x14ac:dyDescent="0.35">
      <c r="A36" t="s">
        <v>84</v>
      </c>
      <c r="B36" t="s">
        <v>85</v>
      </c>
      <c r="C36" t="s">
        <v>369</v>
      </c>
      <c r="D36" t="b">
        <v>0</v>
      </c>
    </row>
    <row r="37" spans="1:4" x14ac:dyDescent="0.35">
      <c r="A37" t="s">
        <v>91</v>
      </c>
      <c r="B37" t="s">
        <v>92</v>
      </c>
      <c r="C37" t="s">
        <v>369</v>
      </c>
      <c r="D37" t="b">
        <v>0</v>
      </c>
    </row>
    <row r="38" spans="1:4" x14ac:dyDescent="0.35">
      <c r="A38" t="s">
        <v>94</v>
      </c>
      <c r="B38" t="s">
        <v>95</v>
      </c>
      <c r="C38" t="s">
        <v>369</v>
      </c>
      <c r="D38" t="b">
        <v>0</v>
      </c>
    </row>
    <row r="39" spans="1:4" x14ac:dyDescent="0.35">
      <c r="A39" t="s">
        <v>100</v>
      </c>
      <c r="B39" t="s">
        <v>101</v>
      </c>
      <c r="C39" t="s">
        <v>369</v>
      </c>
      <c r="D39" t="b">
        <v>0</v>
      </c>
    </row>
    <row r="40" spans="1:4" x14ac:dyDescent="0.35">
      <c r="A40" t="s">
        <v>103</v>
      </c>
      <c r="B40" t="s">
        <v>104</v>
      </c>
      <c r="C40" t="s">
        <v>369</v>
      </c>
      <c r="D40" t="b">
        <v>0</v>
      </c>
    </row>
    <row r="41" spans="1:4" x14ac:dyDescent="0.35">
      <c r="A41" t="s">
        <v>106</v>
      </c>
      <c r="B41" t="s">
        <v>107</v>
      </c>
      <c r="C41" t="s">
        <v>369</v>
      </c>
      <c r="D41" t="b">
        <v>0</v>
      </c>
    </row>
    <row r="42" spans="1:4" x14ac:dyDescent="0.35">
      <c r="A42" t="s">
        <v>109</v>
      </c>
      <c r="B42" t="s">
        <v>110</v>
      </c>
      <c r="C42" t="s">
        <v>369</v>
      </c>
      <c r="D42" t="b">
        <v>0</v>
      </c>
    </row>
    <row r="43" spans="1:4" x14ac:dyDescent="0.35">
      <c r="A43" t="s">
        <v>116</v>
      </c>
      <c r="B43" t="s">
        <v>117</v>
      </c>
      <c r="C43" t="s">
        <v>369</v>
      </c>
      <c r="D43" t="b">
        <v>0</v>
      </c>
    </row>
    <row r="44" spans="1:4" x14ac:dyDescent="0.35">
      <c r="A44" t="s">
        <v>119</v>
      </c>
      <c r="B44" t="s">
        <v>120</v>
      </c>
      <c r="C44" t="s">
        <v>369</v>
      </c>
      <c r="D44" t="b">
        <v>0</v>
      </c>
    </row>
    <row r="45" spans="1:4" x14ac:dyDescent="0.35">
      <c r="A45" t="s">
        <v>122</v>
      </c>
      <c r="B45" t="s">
        <v>123</v>
      </c>
      <c r="C45" t="s">
        <v>369</v>
      </c>
      <c r="D45" t="b">
        <v>0</v>
      </c>
    </row>
    <row r="46" spans="1:4" x14ac:dyDescent="0.35">
      <c r="A46" t="s">
        <v>127</v>
      </c>
      <c r="B46" t="s">
        <v>128</v>
      </c>
      <c r="C46" t="s">
        <v>369</v>
      </c>
      <c r="D46" t="b">
        <v>0</v>
      </c>
    </row>
    <row r="47" spans="1:4" x14ac:dyDescent="0.35">
      <c r="A47" t="s">
        <v>136</v>
      </c>
      <c r="B47" t="s">
        <v>137</v>
      </c>
      <c r="C47" t="s">
        <v>369</v>
      </c>
      <c r="D47" t="b">
        <v>0</v>
      </c>
    </row>
    <row r="48" spans="1:4" x14ac:dyDescent="0.35">
      <c r="A48" t="s">
        <v>139</v>
      </c>
      <c r="B48" t="s">
        <v>140</v>
      </c>
      <c r="C48" t="s">
        <v>369</v>
      </c>
      <c r="D48" t="b">
        <v>0</v>
      </c>
    </row>
    <row r="49" spans="1:4" x14ac:dyDescent="0.35">
      <c r="A49" t="s">
        <v>145</v>
      </c>
      <c r="B49" t="s">
        <v>146</v>
      </c>
      <c r="C49" t="s">
        <v>369</v>
      </c>
      <c r="D49" t="b">
        <v>0</v>
      </c>
    </row>
    <row r="50" spans="1:4" x14ac:dyDescent="0.35">
      <c r="A50" t="s">
        <v>148</v>
      </c>
      <c r="B50" t="s">
        <v>149</v>
      </c>
      <c r="C50" t="s">
        <v>369</v>
      </c>
      <c r="D50" t="b">
        <v>0</v>
      </c>
    </row>
    <row r="51" spans="1:4" x14ac:dyDescent="0.35">
      <c r="A51" t="s">
        <v>49</v>
      </c>
      <c r="B51" t="s">
        <v>50</v>
      </c>
      <c r="C51" t="s">
        <v>369</v>
      </c>
      <c r="D51" t="b">
        <v>0</v>
      </c>
    </row>
    <row r="52" spans="1:4" x14ac:dyDescent="0.35">
      <c r="A52" t="s">
        <v>153</v>
      </c>
      <c r="B52" t="s">
        <v>154</v>
      </c>
      <c r="C52" t="s">
        <v>369</v>
      </c>
      <c r="D52" t="b">
        <v>0</v>
      </c>
    </row>
    <row r="53" spans="1:4" x14ac:dyDescent="0.35">
      <c r="A53" t="s">
        <v>159</v>
      </c>
      <c r="B53" t="s">
        <v>160</v>
      </c>
      <c r="C53" t="s">
        <v>369</v>
      </c>
      <c r="D53" t="b">
        <v>0</v>
      </c>
    </row>
    <row r="54" spans="1:4" x14ac:dyDescent="0.35">
      <c r="A54" t="s">
        <v>162</v>
      </c>
      <c r="B54" t="s">
        <v>163</v>
      </c>
      <c r="C54" t="s">
        <v>369</v>
      </c>
      <c r="D54" t="b">
        <v>0</v>
      </c>
    </row>
    <row r="55" spans="1:4" x14ac:dyDescent="0.35">
      <c r="A55" t="s">
        <v>165</v>
      </c>
      <c r="B55" t="s">
        <v>166</v>
      </c>
      <c r="C55" t="s">
        <v>369</v>
      </c>
      <c r="D55" t="b">
        <v>0</v>
      </c>
    </row>
    <row r="56" spans="1:4" x14ac:dyDescent="0.35">
      <c r="A56" t="s">
        <v>168</v>
      </c>
      <c r="B56" t="s">
        <v>169</v>
      </c>
      <c r="C56" t="s">
        <v>369</v>
      </c>
      <c r="D56" t="b">
        <v>0</v>
      </c>
    </row>
    <row r="57" spans="1:4" x14ac:dyDescent="0.35">
      <c r="A57" t="s">
        <v>171</v>
      </c>
      <c r="B57" t="s">
        <v>172</v>
      </c>
      <c r="C57" t="s">
        <v>369</v>
      </c>
      <c r="D57" t="b">
        <v>0</v>
      </c>
    </row>
    <row r="58" spans="1:4" x14ac:dyDescent="0.35">
      <c r="A58" t="s">
        <v>174</v>
      </c>
      <c r="B58" t="s">
        <v>175</v>
      </c>
      <c r="C58" t="s">
        <v>369</v>
      </c>
      <c r="D58" t="b">
        <v>0</v>
      </c>
    </row>
    <row r="59" spans="1:4" x14ac:dyDescent="0.35">
      <c r="A59" t="s">
        <v>177</v>
      </c>
      <c r="B59" t="s">
        <v>178</v>
      </c>
      <c r="C59" t="s">
        <v>369</v>
      </c>
      <c r="D59" t="b">
        <v>0</v>
      </c>
    </row>
    <row r="60" spans="1:4" x14ac:dyDescent="0.35">
      <c r="A60" t="s">
        <v>180</v>
      </c>
      <c r="B60" t="s">
        <v>181</v>
      </c>
      <c r="C60" t="s">
        <v>369</v>
      </c>
      <c r="D60" t="b">
        <v>0</v>
      </c>
    </row>
    <row r="61" spans="1:4" x14ac:dyDescent="0.35">
      <c r="A61" t="s">
        <v>337</v>
      </c>
      <c r="B61" t="s">
        <v>338</v>
      </c>
      <c r="C61" t="s">
        <v>369</v>
      </c>
      <c r="D61" t="b">
        <v>0</v>
      </c>
    </row>
    <row r="62" spans="1:4" x14ac:dyDescent="0.35">
      <c r="A62" t="s">
        <v>183</v>
      </c>
      <c r="B62" t="s">
        <v>184</v>
      </c>
      <c r="C62" t="s">
        <v>369</v>
      </c>
      <c r="D62" t="b">
        <v>0</v>
      </c>
    </row>
    <row r="63" spans="1:4" x14ac:dyDescent="0.35">
      <c r="A63" t="s">
        <v>187</v>
      </c>
      <c r="B63" t="s">
        <v>188</v>
      </c>
      <c r="C63" t="s">
        <v>369</v>
      </c>
      <c r="D63" t="b">
        <v>0</v>
      </c>
    </row>
    <row r="64" spans="1:4" x14ac:dyDescent="0.35">
      <c r="A64" t="s">
        <v>190</v>
      </c>
      <c r="B64" t="s">
        <v>191</v>
      </c>
      <c r="C64" t="s">
        <v>369</v>
      </c>
      <c r="D64" t="b">
        <v>0</v>
      </c>
    </row>
    <row r="65" spans="1:4" x14ac:dyDescent="0.35">
      <c r="A65" t="s">
        <v>193</v>
      </c>
      <c r="B65" t="s">
        <v>194</v>
      </c>
      <c r="C65" t="s">
        <v>369</v>
      </c>
      <c r="D65" t="b">
        <v>0</v>
      </c>
    </row>
    <row r="66" spans="1:4" x14ac:dyDescent="0.35">
      <c r="A66" t="s">
        <v>212</v>
      </c>
      <c r="B66" t="s">
        <v>213</v>
      </c>
      <c r="C66" t="s">
        <v>369</v>
      </c>
      <c r="D66" t="b">
        <v>0</v>
      </c>
    </row>
    <row r="67" spans="1:4" x14ac:dyDescent="0.35">
      <c r="A67" t="s">
        <v>201</v>
      </c>
      <c r="B67" t="s">
        <v>202</v>
      </c>
      <c r="C67" t="s">
        <v>369</v>
      </c>
      <c r="D67" t="b">
        <v>0</v>
      </c>
    </row>
    <row r="68" spans="1:4" x14ac:dyDescent="0.35">
      <c r="A68" t="s">
        <v>223</v>
      </c>
      <c r="B68" t="s">
        <v>224</v>
      </c>
      <c r="C68" t="s">
        <v>369</v>
      </c>
      <c r="D68" t="b">
        <v>0</v>
      </c>
    </row>
    <row r="69" spans="1:4" x14ac:dyDescent="0.35">
      <c r="A69" t="s">
        <v>226</v>
      </c>
      <c r="B69" t="s">
        <v>227</v>
      </c>
      <c r="C69" t="s">
        <v>369</v>
      </c>
      <c r="D69" t="b">
        <v>0</v>
      </c>
    </row>
    <row r="70" spans="1:4" x14ac:dyDescent="0.35">
      <c r="A70" t="s">
        <v>229</v>
      </c>
      <c r="B70" t="s">
        <v>230</v>
      </c>
      <c r="C70" t="s">
        <v>369</v>
      </c>
      <c r="D70" t="b">
        <v>0</v>
      </c>
    </row>
    <row r="71" spans="1:4" x14ac:dyDescent="0.35">
      <c r="A71" t="s">
        <v>232</v>
      </c>
      <c r="B71" t="s">
        <v>233</v>
      </c>
      <c r="C71" t="s">
        <v>369</v>
      </c>
      <c r="D71" t="b">
        <v>0</v>
      </c>
    </row>
    <row r="72" spans="1:4" x14ac:dyDescent="0.35">
      <c r="A72" t="s">
        <v>243</v>
      </c>
      <c r="B72" t="s">
        <v>244</v>
      </c>
      <c r="C72" t="s">
        <v>369</v>
      </c>
      <c r="D72" t="b">
        <v>0</v>
      </c>
    </row>
    <row r="73" spans="1:4" x14ac:dyDescent="0.35">
      <c r="A73" t="s">
        <v>246</v>
      </c>
      <c r="B73" t="s">
        <v>247</v>
      </c>
      <c r="C73" t="s">
        <v>369</v>
      </c>
      <c r="D73" t="b">
        <v>0</v>
      </c>
    </row>
    <row r="74" spans="1:4" x14ac:dyDescent="0.35">
      <c r="A74" t="s">
        <v>249</v>
      </c>
      <c r="B74" t="s">
        <v>250</v>
      </c>
      <c r="C74" t="s">
        <v>369</v>
      </c>
      <c r="D74" t="b">
        <v>0</v>
      </c>
    </row>
    <row r="75" spans="1:4" x14ac:dyDescent="0.35">
      <c r="A75" t="s">
        <v>343</v>
      </c>
      <c r="B75" t="s">
        <v>344</v>
      </c>
      <c r="C75" t="s">
        <v>369</v>
      </c>
      <c r="D75" t="b">
        <v>0</v>
      </c>
    </row>
    <row r="76" spans="1:4" x14ac:dyDescent="0.35">
      <c r="A76" t="s">
        <v>252</v>
      </c>
      <c r="B76" t="s">
        <v>253</v>
      </c>
      <c r="C76" t="s">
        <v>369</v>
      </c>
      <c r="D76" t="b">
        <v>0</v>
      </c>
    </row>
    <row r="77" spans="1:4" x14ac:dyDescent="0.35">
      <c r="A77" t="s">
        <v>260</v>
      </c>
      <c r="B77" t="s">
        <v>261</v>
      </c>
      <c r="C77" t="s">
        <v>369</v>
      </c>
      <c r="D77" t="b">
        <v>0</v>
      </c>
    </row>
    <row r="78" spans="1:4" x14ac:dyDescent="0.35">
      <c r="A78" t="s">
        <v>255</v>
      </c>
      <c r="B78" t="s">
        <v>256</v>
      </c>
      <c r="C78" t="s">
        <v>369</v>
      </c>
      <c r="D78" t="b">
        <v>0</v>
      </c>
    </row>
    <row r="79" spans="1:4" x14ac:dyDescent="0.35">
      <c r="A79" t="s">
        <v>272</v>
      </c>
      <c r="B79" t="s">
        <v>273</v>
      </c>
      <c r="C79" t="s">
        <v>369</v>
      </c>
      <c r="D79" t="b">
        <v>0</v>
      </c>
    </row>
    <row r="80" spans="1:4" x14ac:dyDescent="0.35">
      <c r="A80" t="s">
        <v>275</v>
      </c>
      <c r="B80" t="s">
        <v>276</v>
      </c>
      <c r="C80" t="s">
        <v>369</v>
      </c>
      <c r="D80" t="b">
        <v>0</v>
      </c>
    </row>
    <row r="81" spans="1:4" x14ac:dyDescent="0.35">
      <c r="A81" t="s">
        <v>281</v>
      </c>
      <c r="B81" t="s">
        <v>282</v>
      </c>
      <c r="C81" t="s">
        <v>369</v>
      </c>
      <c r="D81" t="b">
        <v>0</v>
      </c>
    </row>
    <row r="82" spans="1:4" x14ac:dyDescent="0.35">
      <c r="A82" t="s">
        <v>284</v>
      </c>
      <c r="B82" t="s">
        <v>285</v>
      </c>
      <c r="C82" t="s">
        <v>369</v>
      </c>
      <c r="D82" t="b">
        <v>0</v>
      </c>
    </row>
    <row r="83" spans="1:4" x14ac:dyDescent="0.35">
      <c r="A83" t="s">
        <v>295</v>
      </c>
      <c r="B83" t="s">
        <v>296</v>
      </c>
      <c r="C83" t="s">
        <v>369</v>
      </c>
      <c r="D83" t="b">
        <v>0</v>
      </c>
    </row>
    <row r="84" spans="1:4" x14ac:dyDescent="0.35">
      <c r="A84" t="s">
        <v>298</v>
      </c>
      <c r="B84" t="s">
        <v>299</v>
      </c>
      <c r="C84" t="s">
        <v>369</v>
      </c>
      <c r="D84" t="b">
        <v>0</v>
      </c>
    </row>
    <row r="85" spans="1:4" x14ac:dyDescent="0.35">
      <c r="A85" t="s">
        <v>315</v>
      </c>
      <c r="B85" t="s">
        <v>316</v>
      </c>
      <c r="C85" t="s">
        <v>369</v>
      </c>
      <c r="D85" t="b">
        <v>0</v>
      </c>
    </row>
    <row r="86" spans="1:4" x14ac:dyDescent="0.35">
      <c r="A86" t="s">
        <v>351</v>
      </c>
      <c r="B86" t="s">
        <v>352</v>
      </c>
      <c r="C86" t="s">
        <v>370</v>
      </c>
      <c r="D86" t="b">
        <v>0</v>
      </c>
    </row>
    <row r="87" spans="1:4" x14ac:dyDescent="0.35">
      <c r="A87" t="s">
        <v>353</v>
      </c>
      <c r="B87" t="s">
        <v>354</v>
      </c>
      <c r="C87" t="s">
        <v>370</v>
      </c>
      <c r="D87" t="b">
        <v>0</v>
      </c>
    </row>
    <row r="88" spans="1:4" x14ac:dyDescent="0.35">
      <c r="A88" t="s">
        <v>51</v>
      </c>
      <c r="B88" t="s">
        <v>52</v>
      </c>
      <c r="C88" t="s">
        <v>370</v>
      </c>
      <c r="D88" t="b">
        <v>0</v>
      </c>
    </row>
    <row r="89" spans="1:4" x14ac:dyDescent="0.35">
      <c r="A89" t="s">
        <v>347</v>
      </c>
      <c r="B89" t="s">
        <v>348</v>
      </c>
      <c r="C89" t="s">
        <v>370</v>
      </c>
      <c r="D89" t="b">
        <v>0</v>
      </c>
    </row>
    <row r="91" spans="1:4" x14ac:dyDescent="0.35">
      <c r="A91" t="s">
        <v>67</v>
      </c>
      <c r="B91" t="s">
        <v>68</v>
      </c>
      <c r="C91" t="s">
        <v>370</v>
      </c>
      <c r="D91" t="b">
        <v>0</v>
      </c>
    </row>
    <row r="92" spans="1:4" x14ac:dyDescent="0.35">
      <c r="A92" t="s">
        <v>349</v>
      </c>
      <c r="B92" t="s">
        <v>350</v>
      </c>
      <c r="C92" t="s">
        <v>370</v>
      </c>
      <c r="D92" t="b">
        <v>0</v>
      </c>
    </row>
    <row r="94" spans="1:4" x14ac:dyDescent="0.35">
      <c r="A94" t="s">
        <v>97</v>
      </c>
      <c r="B94" t="s">
        <v>98</v>
      </c>
      <c r="C94" t="s">
        <v>370</v>
      </c>
      <c r="D94" t="b">
        <v>0</v>
      </c>
    </row>
    <row r="97" spans="1:4" x14ac:dyDescent="0.35">
      <c r="A97" t="s">
        <v>357</v>
      </c>
      <c r="B97" t="s">
        <v>358</v>
      </c>
      <c r="C97" t="s">
        <v>370</v>
      </c>
      <c r="D97" t="b">
        <v>0</v>
      </c>
    </row>
    <row r="98" spans="1:4" x14ac:dyDescent="0.35">
      <c r="A98" t="s">
        <v>355</v>
      </c>
      <c r="B98" t="s">
        <v>356</v>
      </c>
      <c r="C98" t="s">
        <v>370</v>
      </c>
      <c r="D98" t="b">
        <v>0</v>
      </c>
    </row>
    <row r="99" spans="1:4" x14ac:dyDescent="0.35">
      <c r="A99" t="s">
        <v>215</v>
      </c>
      <c r="B99" t="s">
        <v>216</v>
      </c>
      <c r="C99" t="s">
        <v>370</v>
      </c>
      <c r="D99" t="b">
        <v>0</v>
      </c>
    </row>
  </sheetData>
  <sortState xmlns:xlrd2="http://schemas.microsoft.com/office/spreadsheetml/2017/richdata2" ref="J3:L15">
    <sortCondition ref="J2:J15"/>
  </sortState>
  <conditionalFormatting sqref="D2:E167">
    <cfRule type="cellIs" dxfId="2" priority="1" operator="equal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opLeftCell="A67" workbookViewId="0">
      <selection activeCell="F1" sqref="F1:K86"/>
    </sheetView>
  </sheetViews>
  <sheetFormatPr defaultRowHeight="14.5" x14ac:dyDescent="0.35"/>
  <cols>
    <col min="1" max="1" width="15.54296875" bestFit="1" customWidth="1"/>
    <col min="2" max="2" width="27.6328125" bestFit="1" customWidth="1"/>
    <col min="3" max="3" width="9.6328125" bestFit="1" customWidth="1"/>
    <col min="4" max="4" width="5.6328125" bestFit="1" customWidth="1"/>
    <col min="6" max="6" width="13.1796875" bestFit="1" customWidth="1"/>
    <col min="7" max="7" width="12.6328125" bestFit="1" customWidth="1"/>
    <col min="8" max="8" width="12.36328125" bestFit="1" customWidth="1"/>
    <col min="9" max="9" width="11.54296875" bestFit="1" customWidth="1"/>
    <col min="10" max="10" width="27.6328125" bestFit="1" customWidth="1"/>
    <col min="11" max="11" width="11.36328125" bestFit="1" customWidth="1"/>
  </cols>
  <sheetData>
    <row r="1" spans="1:12" x14ac:dyDescent="0.35">
      <c r="A1" t="s">
        <v>359</v>
      </c>
      <c r="B1" t="s">
        <v>363</v>
      </c>
      <c r="C1" t="s">
        <v>361</v>
      </c>
      <c r="D1" t="s">
        <v>371</v>
      </c>
      <c r="F1" t="s">
        <v>375</v>
      </c>
      <c r="G1" t="s">
        <v>376</v>
      </c>
      <c r="H1" t="s">
        <v>377</v>
      </c>
      <c r="I1" t="s">
        <v>374</v>
      </c>
      <c r="J1" t="s">
        <v>378</v>
      </c>
      <c r="K1" t="s">
        <v>379</v>
      </c>
    </row>
    <row r="2" spans="1:12" x14ac:dyDescent="0.35">
      <c r="A2" t="s">
        <v>70</v>
      </c>
      <c r="B2" t="s">
        <v>71</v>
      </c>
      <c r="C2" t="s">
        <v>364</v>
      </c>
      <c r="D2" t="b">
        <v>0</v>
      </c>
      <c r="F2" t="str">
        <f>_xlfn.XLOOKUP($I2,All_Photoquad_codes_HeirarchyTr!$G$2:$G$111,All_Photoquad_codes_HeirarchyTr!E$2:E$111)</f>
        <v>BRMA</v>
      </c>
      <c r="G2" t="str">
        <f>_xlfn.XLOOKUP($I2,All_Photoquad_codes_HeirarchyTr!$G$2:$G$111,All_Photoquad_codes_HeirarchyTr!F$2:F$111)</f>
        <v>Brown macroalgae</v>
      </c>
      <c r="H2" t="s">
        <v>369</v>
      </c>
      <c r="I2" t="s">
        <v>97</v>
      </c>
      <c r="J2" t="s">
        <v>98</v>
      </c>
      <c r="K2" t="s">
        <v>370</v>
      </c>
    </row>
    <row r="3" spans="1:12" x14ac:dyDescent="0.35">
      <c r="A3" t="s">
        <v>10</v>
      </c>
      <c r="B3" t="s">
        <v>11</v>
      </c>
      <c r="C3" t="s">
        <v>364</v>
      </c>
      <c r="D3" t="b">
        <v>0</v>
      </c>
      <c r="F3" t="s">
        <v>70</v>
      </c>
      <c r="G3" t="s">
        <v>71</v>
      </c>
      <c r="H3" t="s">
        <v>364</v>
      </c>
      <c r="I3" t="s">
        <v>72</v>
      </c>
      <c r="J3" t="s">
        <v>73</v>
      </c>
      <c r="K3" t="s">
        <v>365</v>
      </c>
    </row>
    <row r="4" spans="1:12" x14ac:dyDescent="0.35">
      <c r="A4" t="s">
        <v>29</v>
      </c>
      <c r="B4" t="s">
        <v>30</v>
      </c>
      <c r="C4" t="s">
        <v>364</v>
      </c>
      <c r="D4" t="b">
        <v>0</v>
      </c>
      <c r="F4" t="s">
        <v>70</v>
      </c>
      <c r="G4" t="s">
        <v>71</v>
      </c>
      <c r="H4" t="s">
        <v>364</v>
      </c>
      <c r="I4" t="s">
        <v>75</v>
      </c>
      <c r="J4" t="s">
        <v>76</v>
      </c>
      <c r="K4" t="s">
        <v>365</v>
      </c>
    </row>
    <row r="5" spans="1:12" x14ac:dyDescent="0.35">
      <c r="A5" t="s">
        <v>34</v>
      </c>
      <c r="B5" t="s">
        <v>35</v>
      </c>
      <c r="C5" t="s">
        <v>364</v>
      </c>
      <c r="D5" t="b">
        <v>0</v>
      </c>
      <c r="F5" t="s">
        <v>10</v>
      </c>
      <c r="G5" t="s">
        <v>11</v>
      </c>
      <c r="H5" t="s">
        <v>364</v>
      </c>
      <c r="I5" t="s">
        <v>157</v>
      </c>
      <c r="J5" t="s">
        <v>158</v>
      </c>
      <c r="K5" t="s">
        <v>365</v>
      </c>
    </row>
    <row r="6" spans="1:12" x14ac:dyDescent="0.35">
      <c r="A6" t="s">
        <v>196</v>
      </c>
      <c r="B6" t="s">
        <v>197</v>
      </c>
      <c r="C6" t="s">
        <v>364</v>
      </c>
      <c r="D6" t="b">
        <v>0</v>
      </c>
      <c r="F6" t="s">
        <v>10</v>
      </c>
      <c r="G6" t="s">
        <v>11</v>
      </c>
      <c r="H6" t="s">
        <v>364</v>
      </c>
      <c r="I6" t="s">
        <v>14</v>
      </c>
      <c r="J6" t="s">
        <v>15</v>
      </c>
      <c r="K6" t="s">
        <v>369</v>
      </c>
    </row>
    <row r="7" spans="1:12" x14ac:dyDescent="0.35">
      <c r="A7" t="s">
        <v>218</v>
      </c>
      <c r="B7" t="s">
        <v>219</v>
      </c>
      <c r="C7" t="s">
        <v>364</v>
      </c>
      <c r="D7" t="b">
        <v>0</v>
      </c>
      <c r="F7" t="str">
        <f>_xlfn.XLOOKUP($I7,All_Photoquad_codes_HeirarchyTr!$E$2:$E$111,All_Photoquad_codes_HeirarchyTr!A$2:A$111)</f>
        <v>CORAL</v>
      </c>
      <c r="G7" t="str">
        <f>_xlfn.XLOOKUP($I7,All_Photoquad_codes_HeirarchyTr!$E$2:$E$111,All_Photoquad_codes_HeirarchyTr!B$2:B$111)</f>
        <v>Coral</v>
      </c>
      <c r="H7" t="s">
        <v>364</v>
      </c>
      <c r="I7" t="s">
        <v>19</v>
      </c>
      <c r="J7" t="s">
        <v>20</v>
      </c>
      <c r="K7" t="s">
        <v>369</v>
      </c>
    </row>
    <row r="8" spans="1:12" x14ac:dyDescent="0.35">
      <c r="A8" t="s">
        <v>87</v>
      </c>
      <c r="B8" t="s">
        <v>88</v>
      </c>
      <c r="C8" t="s">
        <v>364</v>
      </c>
      <c r="D8" t="b">
        <v>0</v>
      </c>
      <c r="F8" t="str">
        <f>_xlfn.XLOOKUP($I8,All_Photoquad_codes_HeirarchyTr!$E$2:$E$111,All_Photoquad_codes_HeirarchyTr!A$2:A$111)</f>
        <v>CORAL</v>
      </c>
      <c r="G8" t="str">
        <f>_xlfn.XLOOKUP($I8,All_Photoquad_codes_HeirarchyTr!$E$2:$E$111,All_Photoquad_codes_HeirarchyTr!B$2:B$111)</f>
        <v>Coral</v>
      </c>
      <c r="H8" t="s">
        <v>364</v>
      </c>
      <c r="I8" t="s">
        <v>41</v>
      </c>
      <c r="J8" t="s">
        <v>42</v>
      </c>
      <c r="K8" t="s">
        <v>369</v>
      </c>
    </row>
    <row r="9" spans="1:12" x14ac:dyDescent="0.35">
      <c r="A9" t="s">
        <v>31</v>
      </c>
      <c r="B9" t="s">
        <v>32</v>
      </c>
      <c r="C9" t="s">
        <v>365</v>
      </c>
      <c r="D9" t="b">
        <v>0</v>
      </c>
      <c r="F9" t="str">
        <f>_xlfn.XLOOKUP($I9,All_Photoquad_codes_HeirarchyTr!$E$2:$E$111,All_Photoquad_codes_HeirarchyTr!A$2:A$111)</f>
        <v>CORAL</v>
      </c>
      <c r="G9" t="str">
        <f>_xlfn.XLOOKUP($I9,All_Photoquad_codes_HeirarchyTr!$E$2:$E$111,All_Photoquad_codes_HeirarchyTr!B$2:B$111)</f>
        <v>Coral</v>
      </c>
      <c r="H9" t="s">
        <v>364</v>
      </c>
      <c r="I9" t="s">
        <v>46</v>
      </c>
      <c r="J9" t="s">
        <v>47</v>
      </c>
      <c r="K9" t="s">
        <v>369</v>
      </c>
    </row>
    <row r="10" spans="1:12" x14ac:dyDescent="0.35">
      <c r="A10" t="s">
        <v>334</v>
      </c>
      <c r="B10" t="s">
        <v>335</v>
      </c>
      <c r="C10" t="s">
        <v>365</v>
      </c>
      <c r="D10" t="b">
        <v>0</v>
      </c>
      <c r="F10" t="str">
        <f>_xlfn.XLOOKUP($I10,All_Photoquad_codes_HeirarchyTr!$E$2:$E$111,All_Photoquad_codes_HeirarchyTr!A$2:A$111)</f>
        <v>CORAL</v>
      </c>
      <c r="G10" t="str">
        <f>_xlfn.XLOOKUP($I10,All_Photoquad_codes_HeirarchyTr!$E$2:$E$111,All_Photoquad_codes_HeirarchyTr!B$2:B$111)</f>
        <v>Coral</v>
      </c>
      <c r="H10" t="s">
        <v>364</v>
      </c>
      <c r="I10" t="s">
        <v>84</v>
      </c>
      <c r="J10" t="s">
        <v>85</v>
      </c>
      <c r="K10" t="s">
        <v>369</v>
      </c>
    </row>
    <row r="11" spans="1:12" x14ac:dyDescent="0.35">
      <c r="A11" t="s">
        <v>57</v>
      </c>
      <c r="B11" t="s">
        <v>58</v>
      </c>
      <c r="C11" t="s">
        <v>365</v>
      </c>
      <c r="D11" t="b">
        <v>0</v>
      </c>
      <c r="F11" t="str">
        <f>_xlfn.XLOOKUP($I11,All_Photoquad_codes_HeirarchyTr!$E$2:$E$111,All_Photoquad_codes_HeirarchyTr!A$2:A$111)</f>
        <v>CORAL</v>
      </c>
      <c r="G11" t="str">
        <f>_xlfn.XLOOKUP($I11,All_Photoquad_codes_HeirarchyTr!$E$2:$E$111,All_Photoquad_codes_HeirarchyTr!B$2:B$111)</f>
        <v>Coral</v>
      </c>
      <c r="H11" t="s">
        <v>364</v>
      </c>
      <c r="I11" t="s">
        <v>94</v>
      </c>
      <c r="J11" t="s">
        <v>95</v>
      </c>
      <c r="K11" t="s">
        <v>369</v>
      </c>
    </row>
    <row r="12" spans="1:12" x14ac:dyDescent="0.35">
      <c r="A12" t="s">
        <v>64</v>
      </c>
      <c r="B12" t="s">
        <v>65</v>
      </c>
      <c r="C12" t="s">
        <v>365</v>
      </c>
      <c r="D12" t="b">
        <v>0</v>
      </c>
      <c r="F12" t="str">
        <f>_xlfn.XLOOKUP($I12,All_Photoquad_codes_HeirarchyTr!$E$2:$E$111,All_Photoquad_codes_HeirarchyTr!A$2:A$111)</f>
        <v>CORAL</v>
      </c>
      <c r="G12" t="str">
        <f>_xlfn.XLOOKUP($I12,All_Photoquad_codes_HeirarchyTr!$E$2:$E$111,All_Photoquad_codes_HeirarchyTr!B$2:B$111)</f>
        <v>Coral</v>
      </c>
      <c r="H12" t="s">
        <v>364</v>
      </c>
      <c r="I12" t="s">
        <v>103</v>
      </c>
      <c r="J12" t="s">
        <v>104</v>
      </c>
      <c r="K12" t="s">
        <v>369</v>
      </c>
      <c r="L12" t="s">
        <v>380</v>
      </c>
    </row>
    <row r="13" spans="1:12" x14ac:dyDescent="0.35">
      <c r="A13" t="s">
        <v>72</v>
      </c>
      <c r="B13" t="s">
        <v>73</v>
      </c>
      <c r="C13" t="s">
        <v>365</v>
      </c>
      <c r="D13" t="b">
        <v>0</v>
      </c>
      <c r="F13" t="str">
        <f>_xlfn.XLOOKUP($I13,All_Photoquad_codes_HeirarchyTr!$E$2:$E$111,All_Photoquad_codes_HeirarchyTr!A$2:A$111)</f>
        <v>CORAL</v>
      </c>
      <c r="G13" t="str">
        <f>_xlfn.XLOOKUP($I13,All_Photoquad_codes_HeirarchyTr!$E$2:$E$111,All_Photoquad_codes_HeirarchyTr!B$2:B$111)</f>
        <v>Coral</v>
      </c>
      <c r="H13" t="s">
        <v>364</v>
      </c>
      <c r="I13" t="s">
        <v>106</v>
      </c>
      <c r="J13" t="s">
        <v>107</v>
      </c>
      <c r="K13" t="s">
        <v>369</v>
      </c>
    </row>
    <row r="14" spans="1:12" x14ac:dyDescent="0.35">
      <c r="A14" t="s">
        <v>75</v>
      </c>
      <c r="B14" t="s">
        <v>76</v>
      </c>
      <c r="C14" t="s">
        <v>365</v>
      </c>
      <c r="D14" t="b">
        <v>0</v>
      </c>
      <c r="F14" t="str">
        <f>_xlfn.XLOOKUP($I14,All_Photoquad_codes_HeirarchyTr!$E$2:$E$111,All_Photoquad_codes_HeirarchyTr!A$2:A$111)</f>
        <v>CORAL</v>
      </c>
      <c r="G14" t="str">
        <f>_xlfn.XLOOKUP($I14,All_Photoquad_codes_HeirarchyTr!$E$2:$E$111,All_Photoquad_codes_HeirarchyTr!B$2:B$111)</f>
        <v>Coral</v>
      </c>
      <c r="H14" t="s">
        <v>364</v>
      </c>
      <c r="I14" t="s">
        <v>109</v>
      </c>
      <c r="J14" t="s">
        <v>110</v>
      </c>
      <c r="K14" t="s">
        <v>369</v>
      </c>
    </row>
    <row r="15" spans="1:12" x14ac:dyDescent="0.35">
      <c r="A15" t="s">
        <v>78</v>
      </c>
      <c r="B15" t="s">
        <v>79</v>
      </c>
      <c r="C15" t="s">
        <v>365</v>
      </c>
      <c r="D15" t="b">
        <v>0</v>
      </c>
      <c r="F15" t="str">
        <f>_xlfn.XLOOKUP($I15,All_Photoquad_codes_HeirarchyTr!$E$2:$E$111,All_Photoquad_codes_HeirarchyTr!A$2:A$111)</f>
        <v>CORAL</v>
      </c>
      <c r="G15" t="str">
        <f>_xlfn.XLOOKUP($I15,All_Photoquad_codes_HeirarchyTr!$E$2:$E$111,All_Photoquad_codes_HeirarchyTr!B$2:B$111)</f>
        <v>Coral</v>
      </c>
      <c r="H15" t="s">
        <v>364</v>
      </c>
      <c r="I15" t="s">
        <v>116</v>
      </c>
      <c r="J15" t="s">
        <v>117</v>
      </c>
      <c r="K15" t="s">
        <v>369</v>
      </c>
    </row>
    <row r="16" spans="1:12" x14ac:dyDescent="0.35">
      <c r="A16" t="s">
        <v>112</v>
      </c>
      <c r="B16" t="s">
        <v>113</v>
      </c>
      <c r="C16" t="s">
        <v>365</v>
      </c>
      <c r="D16" t="b">
        <v>0</v>
      </c>
      <c r="F16" t="str">
        <f>_xlfn.XLOOKUP($I16,All_Photoquad_codes_HeirarchyTr!$E$2:$E$111,All_Photoquad_codes_HeirarchyTr!A$2:A$111)</f>
        <v>CORAL</v>
      </c>
      <c r="G16" t="str">
        <f>_xlfn.XLOOKUP($I16,All_Photoquad_codes_HeirarchyTr!$E$2:$E$111,All_Photoquad_codes_HeirarchyTr!B$2:B$111)</f>
        <v>Coral</v>
      </c>
      <c r="H16" t="s">
        <v>364</v>
      </c>
      <c r="I16" t="s">
        <v>119</v>
      </c>
      <c r="J16" t="s">
        <v>120</v>
      </c>
      <c r="K16" t="s">
        <v>369</v>
      </c>
    </row>
    <row r="17" spans="1:12" x14ac:dyDescent="0.35">
      <c r="A17" t="s">
        <v>142</v>
      </c>
      <c r="B17" t="s">
        <v>143</v>
      </c>
      <c r="C17" t="s">
        <v>365</v>
      </c>
      <c r="D17" t="b">
        <v>0</v>
      </c>
      <c r="F17" t="str">
        <f>_xlfn.XLOOKUP($I17,All_Photoquad_codes_HeirarchyTr!$E$2:$E$111,All_Photoquad_codes_HeirarchyTr!A$2:A$111)</f>
        <v>CORAL</v>
      </c>
      <c r="G17" t="str">
        <f>_xlfn.XLOOKUP($I17,All_Photoquad_codes_HeirarchyTr!$E$2:$E$111,All_Photoquad_codes_HeirarchyTr!B$2:B$111)</f>
        <v>Coral</v>
      </c>
      <c r="H17" t="s">
        <v>364</v>
      </c>
      <c r="I17" t="s">
        <v>122</v>
      </c>
      <c r="J17" t="s">
        <v>123</v>
      </c>
      <c r="K17" t="s">
        <v>369</v>
      </c>
    </row>
    <row r="18" spans="1:12" x14ac:dyDescent="0.35">
      <c r="A18" t="s">
        <v>198</v>
      </c>
      <c r="B18" t="s">
        <v>199</v>
      </c>
      <c r="C18" t="s">
        <v>365</v>
      </c>
      <c r="D18" t="b">
        <v>0</v>
      </c>
      <c r="F18" t="str">
        <f>_xlfn.XLOOKUP($I18,All_Photoquad_codes_HeirarchyTr!$E$2:$E$111,All_Photoquad_codes_HeirarchyTr!A$2:A$111)</f>
        <v>CORAL</v>
      </c>
      <c r="G18" t="str">
        <f>_xlfn.XLOOKUP($I18,All_Photoquad_codes_HeirarchyTr!$E$2:$E$111,All_Photoquad_codes_HeirarchyTr!B$2:B$111)</f>
        <v>Coral</v>
      </c>
      <c r="H18" t="s">
        <v>364</v>
      </c>
      <c r="I18" t="s">
        <v>136</v>
      </c>
      <c r="J18" t="s">
        <v>137</v>
      </c>
      <c r="K18" t="s">
        <v>369</v>
      </c>
    </row>
    <row r="19" spans="1:12" x14ac:dyDescent="0.35">
      <c r="A19" t="s">
        <v>157</v>
      </c>
      <c r="B19" t="s">
        <v>158</v>
      </c>
      <c r="C19" t="s">
        <v>365</v>
      </c>
      <c r="D19" t="b">
        <v>0</v>
      </c>
      <c r="F19" t="str">
        <f>_xlfn.XLOOKUP($I19,All_Photoquad_codes_HeirarchyTr!$E$2:$E$111,All_Photoquad_codes_HeirarchyTr!A$2:A$111)</f>
        <v>CORAL</v>
      </c>
      <c r="G19" t="str">
        <f>_xlfn.XLOOKUP($I19,All_Photoquad_codes_HeirarchyTr!$E$2:$E$111,All_Photoquad_codes_HeirarchyTr!B$2:B$111)</f>
        <v>Coral</v>
      </c>
      <c r="H19" t="s">
        <v>364</v>
      </c>
      <c r="I19" t="s">
        <v>139</v>
      </c>
      <c r="J19" t="s">
        <v>140</v>
      </c>
      <c r="K19" t="s">
        <v>369</v>
      </c>
      <c r="L19" t="s">
        <v>380</v>
      </c>
    </row>
    <row r="20" spans="1:12" x14ac:dyDescent="0.35">
      <c r="A20" t="s">
        <v>220</v>
      </c>
      <c r="B20" t="s">
        <v>221</v>
      </c>
      <c r="C20" t="s">
        <v>365</v>
      </c>
      <c r="D20" t="b">
        <v>0</v>
      </c>
      <c r="F20" t="str">
        <f>_xlfn.XLOOKUP($I20,All_Photoquad_codes_HeirarchyTr!$E$2:$E$111,All_Photoquad_codes_HeirarchyTr!A$2:A$111)</f>
        <v>CORAL</v>
      </c>
      <c r="G20" t="str">
        <f>_xlfn.XLOOKUP($I20,All_Photoquad_codes_HeirarchyTr!$E$2:$E$111,All_Photoquad_codes_HeirarchyTr!B$2:B$111)</f>
        <v>Coral</v>
      </c>
      <c r="H20" t="s">
        <v>364</v>
      </c>
      <c r="I20" t="s">
        <v>145</v>
      </c>
      <c r="J20" t="s">
        <v>146</v>
      </c>
      <c r="K20" t="s">
        <v>369</v>
      </c>
    </row>
    <row r="21" spans="1:12" x14ac:dyDescent="0.35">
      <c r="A21" t="s">
        <v>292</v>
      </c>
      <c r="B21" t="s">
        <v>293</v>
      </c>
      <c r="C21" t="s">
        <v>365</v>
      </c>
      <c r="D21" t="b">
        <v>0</v>
      </c>
      <c r="F21" t="str">
        <f>_xlfn.XLOOKUP($I21,All_Photoquad_codes_HeirarchyTr!$E$2:$E$111,All_Photoquad_codes_HeirarchyTr!A$2:A$111)</f>
        <v>CORAL</v>
      </c>
      <c r="G21" t="str">
        <f>_xlfn.XLOOKUP($I21,All_Photoquad_codes_HeirarchyTr!$E$2:$E$111,All_Photoquad_codes_HeirarchyTr!B$2:B$111)</f>
        <v>Coral</v>
      </c>
      <c r="H21" t="s">
        <v>364</v>
      </c>
      <c r="I21" t="s">
        <v>148</v>
      </c>
      <c r="J21" t="s">
        <v>149</v>
      </c>
      <c r="K21" t="s">
        <v>369</v>
      </c>
      <c r="L21" t="s">
        <v>380</v>
      </c>
    </row>
    <row r="22" spans="1:12" x14ac:dyDescent="0.35">
      <c r="A22" t="s">
        <v>306</v>
      </c>
      <c r="B22" t="s">
        <v>307</v>
      </c>
      <c r="C22" t="s">
        <v>365</v>
      </c>
      <c r="D22" t="b">
        <v>0</v>
      </c>
      <c r="F22" t="str">
        <f>_xlfn.XLOOKUP($I22,All_Photoquad_codes_HeirarchyTr!$E$2:$E$111,All_Photoquad_codes_HeirarchyTr!A$2:A$111)</f>
        <v>CORAL</v>
      </c>
      <c r="G22" t="str">
        <f>_xlfn.XLOOKUP($I22,All_Photoquad_codes_HeirarchyTr!$E$2:$E$111,All_Photoquad_codes_HeirarchyTr!B$2:B$111)</f>
        <v>Coral</v>
      </c>
      <c r="H22" t="s">
        <v>364</v>
      </c>
      <c r="I22" t="s">
        <v>159</v>
      </c>
      <c r="J22" t="s">
        <v>160</v>
      </c>
      <c r="K22" t="s">
        <v>369</v>
      </c>
    </row>
    <row r="23" spans="1:12" x14ac:dyDescent="0.35">
      <c r="A23" t="s">
        <v>309</v>
      </c>
      <c r="B23" t="s">
        <v>310</v>
      </c>
      <c r="C23" t="s">
        <v>365</v>
      </c>
      <c r="D23" t="b">
        <v>0</v>
      </c>
      <c r="F23" t="str">
        <f>_xlfn.XLOOKUP($I23,All_Photoquad_codes_HeirarchyTr!$E$2:$E$111,All_Photoquad_codes_HeirarchyTr!A$2:A$111)</f>
        <v>CORAL</v>
      </c>
      <c r="G23" t="str">
        <f>_xlfn.XLOOKUP($I23,All_Photoquad_codes_HeirarchyTr!$E$2:$E$111,All_Photoquad_codes_HeirarchyTr!B$2:B$111)</f>
        <v>Coral</v>
      </c>
      <c r="H23" t="s">
        <v>364</v>
      </c>
      <c r="I23" t="s">
        <v>162</v>
      </c>
      <c r="J23" t="s">
        <v>163</v>
      </c>
      <c r="K23" t="s">
        <v>369</v>
      </c>
    </row>
    <row r="24" spans="1:12" x14ac:dyDescent="0.35">
      <c r="A24" t="s">
        <v>312</v>
      </c>
      <c r="B24" t="s">
        <v>313</v>
      </c>
      <c r="C24" t="s">
        <v>365</v>
      </c>
      <c r="D24" t="b">
        <v>0</v>
      </c>
      <c r="F24" t="str">
        <f>_xlfn.XLOOKUP($I24,All_Photoquad_codes_HeirarchyTr!$E$2:$E$111,All_Photoquad_codes_HeirarchyTr!A$2:A$111)</f>
        <v>CORAL</v>
      </c>
      <c r="G24" t="str">
        <f>_xlfn.XLOOKUP($I24,All_Photoquad_codes_HeirarchyTr!$E$2:$E$111,All_Photoquad_codes_HeirarchyTr!B$2:B$111)</f>
        <v>Coral</v>
      </c>
      <c r="H24" t="s">
        <v>364</v>
      </c>
      <c r="I24" t="s">
        <v>165</v>
      </c>
      <c r="J24" t="s">
        <v>166</v>
      </c>
      <c r="K24" t="s">
        <v>369</v>
      </c>
    </row>
    <row r="25" spans="1:12" x14ac:dyDescent="0.35">
      <c r="A25" t="s">
        <v>318</v>
      </c>
      <c r="B25" t="s">
        <v>319</v>
      </c>
      <c r="C25" t="s">
        <v>365</v>
      </c>
      <c r="D25" t="b">
        <v>0</v>
      </c>
      <c r="F25" t="str">
        <f>_xlfn.XLOOKUP($I25,All_Photoquad_codes_HeirarchyTr!$E$2:$E$111,All_Photoquad_codes_HeirarchyTr!A$2:A$111)</f>
        <v>CORAL</v>
      </c>
      <c r="G25" t="str">
        <f>_xlfn.XLOOKUP($I25,All_Photoquad_codes_HeirarchyTr!$E$2:$E$111,All_Photoquad_codes_HeirarchyTr!B$2:B$111)</f>
        <v>Coral</v>
      </c>
      <c r="H25" t="s">
        <v>364</v>
      </c>
      <c r="I25" t="s">
        <v>168</v>
      </c>
      <c r="J25" t="s">
        <v>169</v>
      </c>
      <c r="K25" t="s">
        <v>369</v>
      </c>
    </row>
    <row r="26" spans="1:12" x14ac:dyDescent="0.35">
      <c r="A26" t="s">
        <v>36</v>
      </c>
      <c r="B26" t="s">
        <v>37</v>
      </c>
      <c r="C26" t="s">
        <v>365</v>
      </c>
      <c r="D26" t="b">
        <v>0</v>
      </c>
      <c r="F26" t="str">
        <f>_xlfn.XLOOKUP($I26,All_Photoquad_codes_HeirarchyTr!$E$2:$E$111,All_Photoquad_codes_HeirarchyTr!A$2:A$111)</f>
        <v>CORAL</v>
      </c>
      <c r="G26" t="str">
        <f>_xlfn.XLOOKUP($I26,All_Photoquad_codes_HeirarchyTr!$E$2:$E$111,All_Photoquad_codes_HeirarchyTr!B$2:B$111)</f>
        <v>Coral</v>
      </c>
      <c r="H26" t="s">
        <v>364</v>
      </c>
      <c r="I26" t="s">
        <v>171</v>
      </c>
      <c r="J26" t="s">
        <v>172</v>
      </c>
      <c r="K26" t="s">
        <v>369</v>
      </c>
    </row>
    <row r="27" spans="1:12" x14ac:dyDescent="0.35">
      <c r="A27" t="s">
        <v>325</v>
      </c>
      <c r="B27" t="s">
        <v>326</v>
      </c>
      <c r="C27" t="s">
        <v>365</v>
      </c>
      <c r="D27" t="b">
        <v>0</v>
      </c>
      <c r="F27" t="str">
        <f>_xlfn.XLOOKUP($I27,All_Photoquad_codes_HeirarchyTr!$E$2:$E$111,All_Photoquad_codes_HeirarchyTr!A$2:A$111)</f>
        <v>CORAL</v>
      </c>
      <c r="G27" t="str">
        <f>_xlfn.XLOOKUP($I27,All_Photoquad_codes_HeirarchyTr!$E$2:$E$111,All_Photoquad_codes_HeirarchyTr!B$2:B$111)</f>
        <v>Coral</v>
      </c>
      <c r="H27" t="s">
        <v>364</v>
      </c>
      <c r="I27" t="s">
        <v>174</v>
      </c>
      <c r="J27" t="s">
        <v>175</v>
      </c>
      <c r="K27" t="s">
        <v>369</v>
      </c>
    </row>
    <row r="28" spans="1:12" x14ac:dyDescent="0.35">
      <c r="A28" t="s">
        <v>331</v>
      </c>
      <c r="B28" t="s">
        <v>332</v>
      </c>
      <c r="C28" t="s">
        <v>365</v>
      </c>
      <c r="D28" t="b">
        <v>0</v>
      </c>
      <c r="F28" t="str">
        <f>_xlfn.XLOOKUP($I28,All_Photoquad_codes_HeirarchyTr!$E$2:$E$111,All_Photoquad_codes_HeirarchyTr!A$2:A$111)</f>
        <v>CORAL</v>
      </c>
      <c r="G28" t="str">
        <f>_xlfn.XLOOKUP($I28,All_Photoquad_codes_HeirarchyTr!$E$2:$E$111,All_Photoquad_codes_HeirarchyTr!B$2:B$111)</f>
        <v>Coral</v>
      </c>
      <c r="H28" t="s">
        <v>364</v>
      </c>
      <c r="I28" t="s">
        <v>180</v>
      </c>
      <c r="J28" t="s">
        <v>181</v>
      </c>
      <c r="K28" t="s">
        <v>369</v>
      </c>
    </row>
    <row r="29" spans="1:12" x14ac:dyDescent="0.35">
      <c r="A29" t="s">
        <v>14</v>
      </c>
      <c r="B29" t="s">
        <v>15</v>
      </c>
      <c r="C29" t="s">
        <v>369</v>
      </c>
      <c r="D29" t="b">
        <v>0</v>
      </c>
      <c r="F29" t="str">
        <f>_xlfn.XLOOKUP($I29,All_Photoquad_codes_HeirarchyTr!$E$2:$E$111,All_Photoquad_codes_HeirarchyTr!A$2:A$111)</f>
        <v>CORAL</v>
      </c>
      <c r="G29" t="str">
        <f>_xlfn.XLOOKUP($I29,All_Photoquad_codes_HeirarchyTr!$E$2:$E$111,All_Photoquad_codes_HeirarchyTr!B$2:B$111)</f>
        <v>Coral</v>
      </c>
      <c r="H29" t="s">
        <v>364</v>
      </c>
      <c r="I29" t="s">
        <v>337</v>
      </c>
      <c r="J29" t="s">
        <v>338</v>
      </c>
      <c r="K29" t="s">
        <v>369</v>
      </c>
    </row>
    <row r="30" spans="1:12" x14ac:dyDescent="0.35">
      <c r="A30" t="s">
        <v>19</v>
      </c>
      <c r="B30" t="s">
        <v>20</v>
      </c>
      <c r="C30" t="s">
        <v>369</v>
      </c>
      <c r="D30" t="b">
        <v>0</v>
      </c>
      <c r="F30" t="str">
        <f>_xlfn.XLOOKUP($I30,All_Photoquad_codes_HeirarchyTr!$E$2:$E$111,All_Photoquad_codes_HeirarchyTr!A$2:A$111)</f>
        <v>CORAL</v>
      </c>
      <c r="G30" t="str">
        <f>_xlfn.XLOOKUP($I30,All_Photoquad_codes_HeirarchyTr!$E$2:$E$111,All_Photoquad_codes_HeirarchyTr!B$2:B$111)</f>
        <v>Coral</v>
      </c>
      <c r="H30" t="s">
        <v>364</v>
      </c>
      <c r="I30" t="s">
        <v>183</v>
      </c>
      <c r="J30" t="s">
        <v>184</v>
      </c>
      <c r="K30" t="s">
        <v>369</v>
      </c>
    </row>
    <row r="31" spans="1:12" x14ac:dyDescent="0.35">
      <c r="A31" t="s">
        <v>38</v>
      </c>
      <c r="B31" t="s">
        <v>39</v>
      </c>
      <c r="C31" t="s">
        <v>369</v>
      </c>
      <c r="D31" t="b">
        <v>0</v>
      </c>
      <c r="F31" t="str">
        <f>_xlfn.XLOOKUP($I31,All_Photoquad_codes_HeirarchyTr!$E$2:$E$111,All_Photoquad_codes_HeirarchyTr!A$2:A$111)</f>
        <v>CORAL</v>
      </c>
      <c r="G31" t="str">
        <f>_xlfn.XLOOKUP($I31,All_Photoquad_codes_HeirarchyTr!$E$2:$E$111,All_Photoquad_codes_HeirarchyTr!B$2:B$111)</f>
        <v>Coral</v>
      </c>
      <c r="H31" t="s">
        <v>364</v>
      </c>
      <c r="I31" t="s">
        <v>187</v>
      </c>
      <c r="J31" t="s">
        <v>188</v>
      </c>
      <c r="K31" t="s">
        <v>369</v>
      </c>
    </row>
    <row r="32" spans="1:12" x14ac:dyDescent="0.35">
      <c r="A32" t="s">
        <v>41</v>
      </c>
      <c r="B32" t="s">
        <v>42</v>
      </c>
      <c r="C32" t="s">
        <v>369</v>
      </c>
      <c r="D32" t="b">
        <v>0</v>
      </c>
      <c r="F32" t="str">
        <f>_xlfn.XLOOKUP($I32,All_Photoquad_codes_HeirarchyTr!$E$2:$E$111,All_Photoquad_codes_HeirarchyTr!A$2:A$111)</f>
        <v>CORAL</v>
      </c>
      <c r="G32" t="str">
        <f>_xlfn.XLOOKUP($I32,All_Photoquad_codes_HeirarchyTr!$E$2:$E$111,All_Photoquad_codes_HeirarchyTr!B$2:B$111)</f>
        <v>Coral</v>
      </c>
      <c r="H32" t="s">
        <v>364</v>
      </c>
      <c r="I32" t="s">
        <v>193</v>
      </c>
      <c r="J32" t="s">
        <v>194</v>
      </c>
      <c r="K32" t="s">
        <v>369</v>
      </c>
    </row>
    <row r="33" spans="1:11" x14ac:dyDescent="0.35">
      <c r="A33" t="s">
        <v>46</v>
      </c>
      <c r="B33" t="s">
        <v>47</v>
      </c>
      <c r="C33" t="s">
        <v>369</v>
      </c>
      <c r="D33" t="b">
        <v>0</v>
      </c>
      <c r="F33" t="str">
        <f>_xlfn.XLOOKUP($I33,All_Photoquad_codes_HeirarchyTr!$E$2:$E$111,All_Photoquad_codes_HeirarchyTr!A$2:A$111)</f>
        <v>CORAL</v>
      </c>
      <c r="G33" t="str">
        <f>_xlfn.XLOOKUP($I33,All_Photoquad_codes_HeirarchyTr!$E$2:$E$111,All_Photoquad_codes_HeirarchyTr!B$2:B$111)</f>
        <v>Coral</v>
      </c>
      <c r="H33" t="s">
        <v>364</v>
      </c>
      <c r="I33" t="s">
        <v>212</v>
      </c>
      <c r="J33" t="s">
        <v>213</v>
      </c>
      <c r="K33" t="s">
        <v>369</v>
      </c>
    </row>
    <row r="34" spans="1:11" x14ac:dyDescent="0.35">
      <c r="A34" t="s">
        <v>54</v>
      </c>
      <c r="B34" t="s">
        <v>55</v>
      </c>
      <c r="C34" t="s">
        <v>369</v>
      </c>
      <c r="D34" t="b">
        <v>0</v>
      </c>
      <c r="F34" t="str">
        <f>_xlfn.XLOOKUP($I34,All_Photoquad_codes_HeirarchyTr!$E$2:$E$111,All_Photoquad_codes_HeirarchyTr!A$2:A$111)</f>
        <v>CORAL</v>
      </c>
      <c r="G34" t="str">
        <f>_xlfn.XLOOKUP($I34,All_Photoquad_codes_HeirarchyTr!$E$2:$E$111,All_Photoquad_codes_HeirarchyTr!B$2:B$111)</f>
        <v>Coral</v>
      </c>
      <c r="H34" t="s">
        <v>364</v>
      </c>
      <c r="I34" t="s">
        <v>201</v>
      </c>
      <c r="J34" t="s">
        <v>202</v>
      </c>
      <c r="K34" t="s">
        <v>369</v>
      </c>
    </row>
    <row r="35" spans="1:11" x14ac:dyDescent="0.35">
      <c r="A35" t="s">
        <v>61</v>
      </c>
      <c r="B35" t="s">
        <v>62</v>
      </c>
      <c r="C35" t="s">
        <v>369</v>
      </c>
      <c r="D35" t="b">
        <v>0</v>
      </c>
      <c r="F35" t="str">
        <f>_xlfn.XLOOKUP($I35,All_Photoquad_codes_HeirarchyTr!$E$2:$E$111,All_Photoquad_codes_HeirarchyTr!A$2:A$111)</f>
        <v>CORAL</v>
      </c>
      <c r="G35" t="str">
        <f>_xlfn.XLOOKUP($I35,All_Photoquad_codes_HeirarchyTr!$E$2:$E$111,All_Photoquad_codes_HeirarchyTr!B$2:B$111)</f>
        <v>Coral</v>
      </c>
      <c r="H35" t="s">
        <v>364</v>
      </c>
      <c r="I35" t="s">
        <v>223</v>
      </c>
      <c r="J35" t="s">
        <v>224</v>
      </c>
      <c r="K35" t="s">
        <v>369</v>
      </c>
    </row>
    <row r="36" spans="1:11" x14ac:dyDescent="0.35">
      <c r="A36" t="s">
        <v>84</v>
      </c>
      <c r="B36" t="s">
        <v>85</v>
      </c>
      <c r="C36" t="s">
        <v>369</v>
      </c>
      <c r="D36" t="b">
        <v>0</v>
      </c>
      <c r="F36" t="str">
        <f>_xlfn.XLOOKUP($I36,All_Photoquad_codes_HeirarchyTr!$E$2:$E$111,All_Photoquad_codes_HeirarchyTr!A$2:A$111)</f>
        <v>CORAL</v>
      </c>
      <c r="G36" t="str">
        <f>_xlfn.XLOOKUP($I36,All_Photoquad_codes_HeirarchyTr!$E$2:$E$111,All_Photoquad_codes_HeirarchyTr!B$2:B$111)</f>
        <v>Coral</v>
      </c>
      <c r="H36" t="s">
        <v>364</v>
      </c>
      <c r="I36" t="s">
        <v>226</v>
      </c>
      <c r="J36" t="s">
        <v>227</v>
      </c>
      <c r="K36" t="s">
        <v>369</v>
      </c>
    </row>
    <row r="37" spans="1:11" x14ac:dyDescent="0.35">
      <c r="A37" t="s">
        <v>91</v>
      </c>
      <c r="B37" t="s">
        <v>92</v>
      </c>
      <c r="C37" t="s">
        <v>369</v>
      </c>
      <c r="D37" t="b">
        <v>0</v>
      </c>
      <c r="F37" t="str">
        <f>_xlfn.XLOOKUP($I37,All_Photoquad_codes_HeirarchyTr!$E$2:$E$111,All_Photoquad_codes_HeirarchyTr!A$2:A$111)</f>
        <v>CORAL</v>
      </c>
      <c r="G37" t="str">
        <f>_xlfn.XLOOKUP($I37,All_Photoquad_codes_HeirarchyTr!$E$2:$E$111,All_Photoquad_codes_HeirarchyTr!B$2:B$111)</f>
        <v>Coral</v>
      </c>
      <c r="H37" t="s">
        <v>364</v>
      </c>
      <c r="I37" t="s">
        <v>232</v>
      </c>
      <c r="J37" t="s">
        <v>233</v>
      </c>
      <c r="K37" t="s">
        <v>369</v>
      </c>
    </row>
    <row r="38" spans="1:11" x14ac:dyDescent="0.35">
      <c r="A38" t="s">
        <v>94</v>
      </c>
      <c r="B38" t="s">
        <v>95</v>
      </c>
      <c r="C38" t="s">
        <v>369</v>
      </c>
      <c r="D38" t="b">
        <v>0</v>
      </c>
      <c r="F38" t="str">
        <f>_xlfn.XLOOKUP($I38,All_Photoquad_codes_HeirarchyTr!$E$2:$E$111,All_Photoquad_codes_HeirarchyTr!A$2:A$111)</f>
        <v>CORAL</v>
      </c>
      <c r="G38" t="str">
        <f>_xlfn.XLOOKUP($I38,All_Photoquad_codes_HeirarchyTr!$E$2:$E$111,All_Photoquad_codes_HeirarchyTr!B$2:B$111)</f>
        <v>Coral</v>
      </c>
      <c r="H38" t="s">
        <v>364</v>
      </c>
      <c r="I38" t="s">
        <v>246</v>
      </c>
      <c r="J38" t="s">
        <v>247</v>
      </c>
      <c r="K38" t="s">
        <v>369</v>
      </c>
    </row>
    <row r="39" spans="1:11" x14ac:dyDescent="0.35">
      <c r="A39" t="s">
        <v>100</v>
      </c>
      <c r="B39" t="s">
        <v>101</v>
      </c>
      <c r="C39" t="s">
        <v>369</v>
      </c>
      <c r="D39" t="b">
        <v>0</v>
      </c>
      <c r="F39" t="str">
        <f>_xlfn.XLOOKUP($I39,All_Photoquad_codes_HeirarchyTr!$E$2:$E$111,All_Photoquad_codes_HeirarchyTr!A$2:A$111)</f>
        <v>CORAL</v>
      </c>
      <c r="G39" t="str">
        <f>_xlfn.XLOOKUP($I39,All_Photoquad_codes_HeirarchyTr!$E$2:$E$111,All_Photoquad_codes_HeirarchyTr!B$2:B$111)</f>
        <v>Coral</v>
      </c>
      <c r="H39" t="s">
        <v>364</v>
      </c>
      <c r="I39" t="s">
        <v>249</v>
      </c>
      <c r="J39" t="s">
        <v>250</v>
      </c>
      <c r="K39" t="s">
        <v>369</v>
      </c>
    </row>
    <row r="40" spans="1:11" x14ac:dyDescent="0.35">
      <c r="A40" t="s">
        <v>103</v>
      </c>
      <c r="B40" t="s">
        <v>104</v>
      </c>
      <c r="C40" t="s">
        <v>369</v>
      </c>
      <c r="D40" t="b">
        <v>0</v>
      </c>
      <c r="F40" t="str">
        <f>_xlfn.XLOOKUP($I40,All_Photoquad_codes_HeirarchyTr!$E$2:$E$111,All_Photoquad_codes_HeirarchyTr!A$2:A$111)</f>
        <v>CORAL</v>
      </c>
      <c r="G40" t="str">
        <f>_xlfn.XLOOKUP($I40,All_Photoquad_codes_HeirarchyTr!$E$2:$E$111,All_Photoquad_codes_HeirarchyTr!B$2:B$111)</f>
        <v>Coral</v>
      </c>
      <c r="H40" t="s">
        <v>364</v>
      </c>
      <c r="I40" t="s">
        <v>343</v>
      </c>
      <c r="J40" t="s">
        <v>344</v>
      </c>
      <c r="K40" t="s">
        <v>369</v>
      </c>
    </row>
    <row r="41" spans="1:11" x14ac:dyDescent="0.35">
      <c r="A41" t="s">
        <v>106</v>
      </c>
      <c r="B41" t="s">
        <v>107</v>
      </c>
      <c r="C41" t="s">
        <v>369</v>
      </c>
      <c r="D41" t="b">
        <v>0</v>
      </c>
      <c r="F41" t="str">
        <f>_xlfn.XLOOKUP($I41,All_Photoquad_codes_HeirarchyTr!$E$2:$E$111,All_Photoquad_codes_HeirarchyTr!A$2:A$111)</f>
        <v>CORAL</v>
      </c>
      <c r="G41" t="str">
        <f>_xlfn.XLOOKUP($I41,All_Photoquad_codes_HeirarchyTr!$E$2:$E$111,All_Photoquad_codes_HeirarchyTr!B$2:B$111)</f>
        <v>Coral</v>
      </c>
      <c r="H41" t="s">
        <v>364</v>
      </c>
      <c r="I41" t="s">
        <v>252</v>
      </c>
      <c r="J41" t="s">
        <v>253</v>
      </c>
      <c r="K41" t="s">
        <v>369</v>
      </c>
    </row>
    <row r="42" spans="1:11" x14ac:dyDescent="0.35">
      <c r="A42" t="s">
        <v>109</v>
      </c>
      <c r="B42" t="s">
        <v>110</v>
      </c>
      <c r="C42" t="s">
        <v>369</v>
      </c>
      <c r="D42" t="b">
        <v>0</v>
      </c>
      <c r="F42" t="str">
        <f>_xlfn.XLOOKUP($I42,All_Photoquad_codes_HeirarchyTr!$E$2:$E$111,All_Photoquad_codes_HeirarchyTr!A$2:A$111)</f>
        <v>CORAL</v>
      </c>
      <c r="G42" t="str">
        <f>_xlfn.XLOOKUP($I42,All_Photoquad_codes_HeirarchyTr!$E$2:$E$111,All_Photoquad_codes_HeirarchyTr!B$2:B$111)</f>
        <v>Coral</v>
      </c>
      <c r="H42" t="s">
        <v>364</v>
      </c>
      <c r="I42" t="s">
        <v>260</v>
      </c>
      <c r="J42" t="s">
        <v>261</v>
      </c>
      <c r="K42" t="s">
        <v>369</v>
      </c>
    </row>
    <row r="43" spans="1:11" x14ac:dyDescent="0.35">
      <c r="A43" t="s">
        <v>116</v>
      </c>
      <c r="B43" t="s">
        <v>117</v>
      </c>
      <c r="C43" t="s">
        <v>369</v>
      </c>
      <c r="D43" t="b">
        <v>0</v>
      </c>
      <c r="F43" t="str">
        <f>_xlfn.XLOOKUP($I43,All_Photoquad_codes_HeirarchyTr!$E$2:$E$111,All_Photoquad_codes_HeirarchyTr!A$2:A$111)</f>
        <v>CORAL</v>
      </c>
      <c r="G43" t="str">
        <f>_xlfn.XLOOKUP($I43,All_Photoquad_codes_HeirarchyTr!$E$2:$E$111,All_Photoquad_codes_HeirarchyTr!B$2:B$111)</f>
        <v>Coral</v>
      </c>
      <c r="H43" t="s">
        <v>364</v>
      </c>
      <c r="I43" t="s">
        <v>255</v>
      </c>
      <c r="J43" t="s">
        <v>256</v>
      </c>
      <c r="K43" t="s">
        <v>369</v>
      </c>
    </row>
    <row r="44" spans="1:11" x14ac:dyDescent="0.35">
      <c r="A44" t="s">
        <v>119</v>
      </c>
      <c r="B44" t="s">
        <v>120</v>
      </c>
      <c r="C44" t="s">
        <v>369</v>
      </c>
      <c r="D44" t="b">
        <v>0</v>
      </c>
      <c r="F44" t="str">
        <f>_xlfn.XLOOKUP($I44,All_Photoquad_codes_HeirarchyTr!$E$2:$E$111,All_Photoquad_codes_HeirarchyTr!A$2:A$111)</f>
        <v>CORAL</v>
      </c>
      <c r="G44" t="str">
        <f>_xlfn.XLOOKUP($I44,All_Photoquad_codes_HeirarchyTr!$E$2:$E$111,All_Photoquad_codes_HeirarchyTr!B$2:B$111)</f>
        <v>Coral</v>
      </c>
      <c r="H44" t="s">
        <v>364</v>
      </c>
      <c r="I44" t="s">
        <v>272</v>
      </c>
      <c r="J44" t="s">
        <v>273</v>
      </c>
      <c r="K44" t="s">
        <v>369</v>
      </c>
    </row>
    <row r="45" spans="1:11" x14ac:dyDescent="0.35">
      <c r="A45" t="s">
        <v>122</v>
      </c>
      <c r="B45" t="s">
        <v>123</v>
      </c>
      <c r="C45" t="s">
        <v>369</v>
      </c>
      <c r="D45" t="b">
        <v>0</v>
      </c>
      <c r="F45" t="str">
        <f>_xlfn.XLOOKUP($I45,All_Photoquad_codes_HeirarchyTr!$E$2:$E$111,All_Photoquad_codes_HeirarchyTr!A$2:A$111)</f>
        <v>CORAL</v>
      </c>
      <c r="G45" t="str">
        <f>_xlfn.XLOOKUP($I45,All_Photoquad_codes_HeirarchyTr!$E$2:$E$111,All_Photoquad_codes_HeirarchyTr!B$2:B$111)</f>
        <v>Coral</v>
      </c>
      <c r="H45" t="s">
        <v>364</v>
      </c>
      <c r="I45" t="s">
        <v>295</v>
      </c>
      <c r="J45" t="s">
        <v>296</v>
      </c>
      <c r="K45" t="s">
        <v>369</v>
      </c>
    </row>
    <row r="46" spans="1:11" x14ac:dyDescent="0.35">
      <c r="A46" t="s">
        <v>127</v>
      </c>
      <c r="B46" t="s">
        <v>128</v>
      </c>
      <c r="C46" t="s">
        <v>369</v>
      </c>
      <c r="D46" t="b">
        <v>0</v>
      </c>
      <c r="F46" t="str">
        <f>_xlfn.XLOOKUP($I46,All_Photoquad_codes_HeirarchyTr!$E$2:$E$111,All_Photoquad_codes_HeirarchyTr!A$2:A$111)</f>
        <v>CORAL</v>
      </c>
      <c r="G46" t="str">
        <f>_xlfn.XLOOKUP($I46,All_Photoquad_codes_HeirarchyTr!$E$2:$E$111,All_Photoquad_codes_HeirarchyTr!B$2:B$111)</f>
        <v>Coral</v>
      </c>
      <c r="H46" t="s">
        <v>364</v>
      </c>
      <c r="I46" t="s">
        <v>298</v>
      </c>
      <c r="J46" t="s">
        <v>299</v>
      </c>
      <c r="K46" t="s">
        <v>369</v>
      </c>
    </row>
    <row r="47" spans="1:11" x14ac:dyDescent="0.35">
      <c r="A47" t="s">
        <v>136</v>
      </c>
      <c r="B47" t="s">
        <v>137</v>
      </c>
      <c r="C47" t="s">
        <v>369</v>
      </c>
      <c r="D47" t="b">
        <v>0</v>
      </c>
      <c r="F47" t="str">
        <f>_xlfn.XLOOKUP($I47,All_Photoquad_codes_HeirarchyTr!$E$2:$E$111,All_Photoquad_codes_HeirarchyTr!A$2:A$111)</f>
        <v>CORAL</v>
      </c>
      <c r="G47" t="str">
        <f>_xlfn.XLOOKUP($I47,All_Photoquad_codes_HeirarchyTr!$E$2:$E$111,All_Photoquad_codes_HeirarchyTr!B$2:B$111)</f>
        <v>Coral</v>
      </c>
      <c r="H47" t="s">
        <v>364</v>
      </c>
      <c r="I47" t="s">
        <v>315</v>
      </c>
      <c r="J47" t="s">
        <v>316</v>
      </c>
      <c r="K47" t="s">
        <v>369</v>
      </c>
    </row>
    <row r="48" spans="1:11" x14ac:dyDescent="0.35">
      <c r="A48" t="s">
        <v>139</v>
      </c>
      <c r="B48" t="s">
        <v>140</v>
      </c>
      <c r="C48" t="s">
        <v>369</v>
      </c>
      <c r="D48" t="b">
        <v>0</v>
      </c>
      <c r="F48" t="str">
        <f>_xlfn.XLOOKUP($I48,All_Photoquad_codes_HeirarchyTr!$G$2:$G$111,All_Photoquad_codes_HeirarchyTr!E$2:E$111)</f>
        <v>GRMA</v>
      </c>
      <c r="G48" t="str">
        <f>_xlfn.XLOOKUP($I48,All_Photoquad_codes_HeirarchyTr!$G$2:$G$111,All_Photoquad_codes_HeirarchyTr!F$2:F$111)</f>
        <v>Green macroalga</v>
      </c>
      <c r="H48" t="s">
        <v>369</v>
      </c>
      <c r="I48" t="s">
        <v>51</v>
      </c>
      <c r="J48" t="s">
        <v>52</v>
      </c>
      <c r="K48" t="s">
        <v>370</v>
      </c>
    </row>
    <row r="49" spans="1:11" x14ac:dyDescent="0.35">
      <c r="A49" t="s">
        <v>145</v>
      </c>
      <c r="B49" t="s">
        <v>146</v>
      </c>
      <c r="C49" t="s">
        <v>369</v>
      </c>
      <c r="D49" t="b">
        <v>0</v>
      </c>
      <c r="F49" t="str">
        <f>_xlfn.XLOOKUP($I49,All_Photoquad_codes_HeirarchyTr!$G$2:$G$111,All_Photoquad_codes_HeirarchyTr!E$2:E$111)</f>
        <v>GRMA</v>
      </c>
      <c r="G49" t="str">
        <f>_xlfn.XLOOKUP($I49,All_Photoquad_codes_HeirarchyTr!$G$2:$G$111,All_Photoquad_codes_HeirarchyTr!F$2:F$111)</f>
        <v>Green macroalgae</v>
      </c>
      <c r="H49" t="s">
        <v>369</v>
      </c>
      <c r="I49" t="s">
        <v>347</v>
      </c>
      <c r="J49" t="s">
        <v>348</v>
      </c>
      <c r="K49" t="s">
        <v>370</v>
      </c>
    </row>
    <row r="50" spans="1:11" x14ac:dyDescent="0.35">
      <c r="A50" t="s">
        <v>148</v>
      </c>
      <c r="B50" t="s">
        <v>149</v>
      </c>
      <c r="C50" t="s">
        <v>369</v>
      </c>
      <c r="D50" t="b">
        <v>0</v>
      </c>
      <c r="F50" t="str">
        <f>_xlfn.XLOOKUP($I50,All_Photoquad_codes_HeirarchyTr!$G$2:$G$111,All_Photoquad_codes_HeirarchyTr!E$2:E$111)</f>
        <v>GRMA</v>
      </c>
      <c r="G50" t="str">
        <f>_xlfn.XLOOKUP($I50,All_Photoquad_codes_HeirarchyTr!$G$2:$G$111,All_Photoquad_codes_HeirarchyTr!F$2:F$111)</f>
        <v>Green macroalga</v>
      </c>
      <c r="H50" t="s">
        <v>369</v>
      </c>
      <c r="I50" t="s">
        <v>67</v>
      </c>
      <c r="J50" t="s">
        <v>68</v>
      </c>
      <c r="K50" t="s">
        <v>370</v>
      </c>
    </row>
    <row r="51" spans="1:11" x14ac:dyDescent="0.35">
      <c r="A51" t="s">
        <v>49</v>
      </c>
      <c r="B51" t="s">
        <v>50</v>
      </c>
      <c r="C51" t="s">
        <v>369</v>
      </c>
      <c r="D51" t="b">
        <v>0</v>
      </c>
      <c r="F51" t="str">
        <f>_xlfn.XLOOKUP($I51,All_Photoquad_codes_HeirarchyTr!$G$2:$G$111,All_Photoquad_codes_HeirarchyTr!E$2:E$111)</f>
        <v>GRMA</v>
      </c>
      <c r="G51" t="str">
        <f>_xlfn.XLOOKUP($I51,All_Photoquad_codes_HeirarchyTr!$G$2:$G$111,All_Photoquad_codes_HeirarchyTr!F$2:F$111)</f>
        <v>Green macroalgae</v>
      </c>
      <c r="H51" t="s">
        <v>369</v>
      </c>
      <c r="I51" t="s">
        <v>349</v>
      </c>
      <c r="J51" t="s">
        <v>350</v>
      </c>
      <c r="K51" t="s">
        <v>370</v>
      </c>
    </row>
    <row r="52" spans="1:11" x14ac:dyDescent="0.35">
      <c r="A52" t="s">
        <v>153</v>
      </c>
      <c r="B52" t="s">
        <v>154</v>
      </c>
      <c r="C52" t="s">
        <v>369</v>
      </c>
      <c r="D52" t="b">
        <v>0</v>
      </c>
      <c r="F52" t="str">
        <f>_xlfn.XLOOKUP($I52,All_Photoquad_codes_HeirarchyTr!$G$2:$G$111,All_Photoquad_codes_HeirarchyTr!E$2:E$111)</f>
        <v>GRMA</v>
      </c>
      <c r="G52" t="str">
        <f>_xlfn.XLOOKUP($I52,All_Photoquad_codes_HeirarchyTr!$G$2:$G$111,All_Photoquad_codes_HeirarchyTr!F$2:F$111)</f>
        <v>Green macroalgae</v>
      </c>
      <c r="H52" t="s">
        <v>369</v>
      </c>
      <c r="I52" t="s">
        <v>215</v>
      </c>
      <c r="J52" t="s">
        <v>216</v>
      </c>
      <c r="K52" t="s">
        <v>370</v>
      </c>
    </row>
    <row r="53" spans="1:11" x14ac:dyDescent="0.35">
      <c r="A53" t="s">
        <v>159</v>
      </c>
      <c r="B53" t="s">
        <v>160</v>
      </c>
      <c r="C53" t="s">
        <v>369</v>
      </c>
      <c r="D53" t="b">
        <v>0</v>
      </c>
      <c r="F53" t="s">
        <v>29</v>
      </c>
      <c r="G53" t="s">
        <v>30</v>
      </c>
      <c r="H53" t="s">
        <v>364</v>
      </c>
      <c r="I53" t="s">
        <v>31</v>
      </c>
      <c r="J53" t="s">
        <v>32</v>
      </c>
      <c r="K53" t="s">
        <v>365</v>
      </c>
    </row>
    <row r="54" spans="1:11" x14ac:dyDescent="0.35">
      <c r="A54" t="s">
        <v>162</v>
      </c>
      <c r="B54" t="s">
        <v>163</v>
      </c>
      <c r="C54" t="s">
        <v>369</v>
      </c>
      <c r="D54" t="b">
        <v>0</v>
      </c>
      <c r="F54" t="s">
        <v>29</v>
      </c>
      <c r="G54" t="s">
        <v>30</v>
      </c>
      <c r="H54" t="s">
        <v>364</v>
      </c>
      <c r="I54" t="s">
        <v>334</v>
      </c>
      <c r="J54" t="s">
        <v>335</v>
      </c>
      <c r="K54" t="s">
        <v>365</v>
      </c>
    </row>
    <row r="55" spans="1:11" x14ac:dyDescent="0.35">
      <c r="A55" t="s">
        <v>165</v>
      </c>
      <c r="B55" t="s">
        <v>166</v>
      </c>
      <c r="C55" t="s">
        <v>369</v>
      </c>
      <c r="D55" t="b">
        <v>0</v>
      </c>
      <c r="F55" t="s">
        <v>29</v>
      </c>
      <c r="G55" t="s">
        <v>30</v>
      </c>
      <c r="H55" t="s">
        <v>364</v>
      </c>
      <c r="I55" t="s">
        <v>57</v>
      </c>
      <c r="J55" t="s">
        <v>58</v>
      </c>
      <c r="K55" t="s">
        <v>365</v>
      </c>
    </row>
    <row r="56" spans="1:11" x14ac:dyDescent="0.35">
      <c r="A56" t="s">
        <v>168</v>
      </c>
      <c r="B56" t="s">
        <v>169</v>
      </c>
      <c r="C56" t="s">
        <v>369</v>
      </c>
      <c r="D56" t="b">
        <v>0</v>
      </c>
      <c r="F56" t="s">
        <v>29</v>
      </c>
      <c r="G56" t="s">
        <v>30</v>
      </c>
      <c r="H56" t="s">
        <v>364</v>
      </c>
      <c r="I56" t="s">
        <v>64</v>
      </c>
      <c r="J56" t="s">
        <v>65</v>
      </c>
      <c r="K56" t="s">
        <v>365</v>
      </c>
    </row>
    <row r="57" spans="1:11" x14ac:dyDescent="0.35">
      <c r="A57" t="s">
        <v>171</v>
      </c>
      <c r="B57" t="s">
        <v>172</v>
      </c>
      <c r="C57" t="s">
        <v>369</v>
      </c>
      <c r="D57" t="b">
        <v>0</v>
      </c>
      <c r="F57" t="s">
        <v>29</v>
      </c>
      <c r="G57" t="s">
        <v>30</v>
      </c>
      <c r="H57" t="s">
        <v>364</v>
      </c>
      <c r="I57" t="s">
        <v>78</v>
      </c>
      <c r="J57" t="s">
        <v>79</v>
      </c>
      <c r="K57" t="s">
        <v>365</v>
      </c>
    </row>
    <row r="58" spans="1:11" x14ac:dyDescent="0.35">
      <c r="A58" t="s">
        <v>174</v>
      </c>
      <c r="B58" t="s">
        <v>175</v>
      </c>
      <c r="C58" t="s">
        <v>369</v>
      </c>
      <c r="D58" t="b">
        <v>0</v>
      </c>
      <c r="F58" t="s">
        <v>29</v>
      </c>
      <c r="G58" t="s">
        <v>30</v>
      </c>
      <c r="H58" t="s">
        <v>364</v>
      </c>
      <c r="I58" t="s">
        <v>142</v>
      </c>
      <c r="J58" t="s">
        <v>143</v>
      </c>
      <c r="K58" t="s">
        <v>365</v>
      </c>
    </row>
    <row r="59" spans="1:11" x14ac:dyDescent="0.35">
      <c r="A59" t="s">
        <v>177</v>
      </c>
      <c r="B59" t="s">
        <v>178</v>
      </c>
      <c r="C59" t="s">
        <v>369</v>
      </c>
      <c r="D59" t="b">
        <v>0</v>
      </c>
      <c r="F59" t="s">
        <v>29</v>
      </c>
      <c r="G59" t="s">
        <v>30</v>
      </c>
      <c r="H59" t="s">
        <v>364</v>
      </c>
      <c r="I59" t="s">
        <v>292</v>
      </c>
      <c r="J59" t="s">
        <v>293</v>
      </c>
      <c r="K59" t="s">
        <v>365</v>
      </c>
    </row>
    <row r="60" spans="1:11" x14ac:dyDescent="0.35">
      <c r="A60" t="s">
        <v>180</v>
      </c>
      <c r="B60" t="s">
        <v>181</v>
      </c>
      <c r="C60" t="s">
        <v>369</v>
      </c>
      <c r="D60" t="b">
        <v>0</v>
      </c>
      <c r="F60" t="s">
        <v>29</v>
      </c>
      <c r="G60" t="s">
        <v>30</v>
      </c>
      <c r="H60" t="s">
        <v>364</v>
      </c>
      <c r="I60" t="s">
        <v>306</v>
      </c>
      <c r="J60" t="s">
        <v>307</v>
      </c>
      <c r="K60" t="s">
        <v>365</v>
      </c>
    </row>
    <row r="61" spans="1:11" x14ac:dyDescent="0.35">
      <c r="A61" t="s">
        <v>337</v>
      </c>
      <c r="B61" t="s">
        <v>338</v>
      </c>
      <c r="C61" t="s">
        <v>369</v>
      </c>
      <c r="D61" t="b">
        <v>0</v>
      </c>
      <c r="F61" t="s">
        <v>29</v>
      </c>
      <c r="G61" t="s">
        <v>30</v>
      </c>
      <c r="H61" t="s">
        <v>364</v>
      </c>
      <c r="I61" t="s">
        <v>318</v>
      </c>
      <c r="J61" t="s">
        <v>319</v>
      </c>
      <c r="K61" t="s">
        <v>365</v>
      </c>
    </row>
    <row r="62" spans="1:11" x14ac:dyDescent="0.35">
      <c r="A62" t="s">
        <v>183</v>
      </c>
      <c r="B62" t="s">
        <v>184</v>
      </c>
      <c r="C62" t="s">
        <v>369</v>
      </c>
      <c r="D62" t="b">
        <v>0</v>
      </c>
      <c r="F62" t="s">
        <v>29</v>
      </c>
      <c r="G62" t="s">
        <v>30</v>
      </c>
      <c r="H62" t="s">
        <v>364</v>
      </c>
      <c r="I62" t="s">
        <v>331</v>
      </c>
      <c r="J62" t="s">
        <v>332</v>
      </c>
      <c r="K62" t="s">
        <v>365</v>
      </c>
    </row>
    <row r="63" spans="1:11" x14ac:dyDescent="0.35">
      <c r="A63" t="s">
        <v>187</v>
      </c>
      <c r="B63" t="s">
        <v>188</v>
      </c>
      <c r="C63" t="s">
        <v>369</v>
      </c>
      <c r="D63" t="b">
        <v>0</v>
      </c>
      <c r="F63" t="s">
        <v>34</v>
      </c>
      <c r="G63" t="s">
        <v>35</v>
      </c>
      <c r="H63" t="s">
        <v>364</v>
      </c>
      <c r="I63" t="s">
        <v>112</v>
      </c>
      <c r="J63" t="s">
        <v>113</v>
      </c>
      <c r="K63" t="s">
        <v>365</v>
      </c>
    </row>
    <row r="64" spans="1:11" x14ac:dyDescent="0.35">
      <c r="A64" t="s">
        <v>190</v>
      </c>
      <c r="B64" t="s">
        <v>191</v>
      </c>
      <c r="C64" t="s">
        <v>369</v>
      </c>
      <c r="D64" t="b">
        <v>0</v>
      </c>
      <c r="F64" t="s">
        <v>34</v>
      </c>
      <c r="G64" t="s">
        <v>35</v>
      </c>
      <c r="H64" t="s">
        <v>364</v>
      </c>
      <c r="I64" t="s">
        <v>36</v>
      </c>
      <c r="J64" t="s">
        <v>37</v>
      </c>
      <c r="K64" t="s">
        <v>365</v>
      </c>
    </row>
    <row r="65" spans="1:11" x14ac:dyDescent="0.35">
      <c r="A65" t="s">
        <v>193</v>
      </c>
      <c r="B65" t="s">
        <v>194</v>
      </c>
      <c r="C65" t="s">
        <v>369</v>
      </c>
      <c r="D65" t="b">
        <v>0</v>
      </c>
      <c r="F65" t="str">
        <f>_xlfn.XLOOKUP($I65,All_Photoquad_codes_HeirarchyTr!$G$2:$G$111,All_Photoquad_codes_HeirarchyTr!C$2:C$111)</f>
        <v>UPMA</v>
      </c>
      <c r="G65" t="str">
        <f>_xlfn.XLOOKUP($I65,All_Photoquad_codes_HeirarchyTr!$G$2:$G$111,All_Photoquad_codes_HeirarchyTr!D$2:D$111)</f>
        <v>Upright macroalga</v>
      </c>
      <c r="H65" t="s">
        <v>365</v>
      </c>
      <c r="I65" t="s">
        <v>38</v>
      </c>
      <c r="J65" t="s">
        <v>39</v>
      </c>
      <c r="K65" t="s">
        <v>369</v>
      </c>
    </row>
    <row r="66" spans="1:11" x14ac:dyDescent="0.35">
      <c r="A66" t="s">
        <v>212</v>
      </c>
      <c r="B66" t="s">
        <v>213</v>
      </c>
      <c r="C66" t="s">
        <v>369</v>
      </c>
      <c r="D66" t="b">
        <v>0</v>
      </c>
      <c r="F66" t="str">
        <f>_xlfn.XLOOKUP($I66,All_Photoquad_codes_HeirarchyTr!$G$2:$G$111,All_Photoquad_codes_HeirarchyTr!C$2:C$111)</f>
        <v>UPMA</v>
      </c>
      <c r="G66" t="str">
        <f>_xlfn.XLOOKUP($I66,All_Photoquad_codes_HeirarchyTr!$G$2:$G$111,All_Photoquad_codes_HeirarchyTr!D$2:D$111)</f>
        <v>Upright macroalga</v>
      </c>
      <c r="H66" t="s">
        <v>365</v>
      </c>
      <c r="I66" t="s">
        <v>54</v>
      </c>
      <c r="J66" t="s">
        <v>55</v>
      </c>
      <c r="K66" t="s">
        <v>369</v>
      </c>
    </row>
    <row r="67" spans="1:11" x14ac:dyDescent="0.35">
      <c r="A67" t="s">
        <v>201</v>
      </c>
      <c r="B67" t="s">
        <v>202</v>
      </c>
      <c r="C67" t="s">
        <v>369</v>
      </c>
      <c r="D67" t="b">
        <v>0</v>
      </c>
      <c r="F67" t="str">
        <f>_xlfn.XLOOKUP($I67,All_Photoquad_codes_HeirarchyTr!$G$2:$G$111,All_Photoquad_codes_HeirarchyTr!C$2:C$111)</f>
        <v>UPMA</v>
      </c>
      <c r="G67" t="str">
        <f>_xlfn.XLOOKUP($I67,All_Photoquad_codes_HeirarchyTr!$G$2:$G$111,All_Photoquad_codes_HeirarchyTr!D$2:D$111)</f>
        <v>Upright macroalga</v>
      </c>
      <c r="H67" t="s">
        <v>365</v>
      </c>
      <c r="I67" t="s">
        <v>61</v>
      </c>
      <c r="J67" t="s">
        <v>62</v>
      </c>
      <c r="K67" t="s">
        <v>369</v>
      </c>
    </row>
    <row r="68" spans="1:11" x14ac:dyDescent="0.35">
      <c r="A68" t="s">
        <v>223</v>
      </c>
      <c r="B68" t="s">
        <v>224</v>
      </c>
      <c r="C68" t="s">
        <v>369</v>
      </c>
      <c r="D68" t="b">
        <v>0</v>
      </c>
      <c r="F68" t="str">
        <f>_xlfn.XLOOKUP($I68,All_Photoquad_codes_HeirarchyTr!$G$2:$G$111,All_Photoquad_codes_HeirarchyTr!C$2:C$111)</f>
        <v>UPMA</v>
      </c>
      <c r="G68" t="str">
        <f>_xlfn.XLOOKUP($I68,All_Photoquad_codes_HeirarchyTr!$G$2:$G$111,All_Photoquad_codes_HeirarchyTr!D$2:D$111)</f>
        <v>Upright macroalga</v>
      </c>
      <c r="H68" t="s">
        <v>365</v>
      </c>
      <c r="I68" t="s">
        <v>100</v>
      </c>
      <c r="J68" t="s">
        <v>101</v>
      </c>
      <c r="K68" t="s">
        <v>369</v>
      </c>
    </row>
    <row r="69" spans="1:11" x14ac:dyDescent="0.35">
      <c r="A69" t="s">
        <v>226</v>
      </c>
      <c r="B69" t="s">
        <v>227</v>
      </c>
      <c r="C69" t="s">
        <v>369</v>
      </c>
      <c r="D69" t="b">
        <v>0</v>
      </c>
      <c r="F69" t="str">
        <f>_xlfn.XLOOKUP($I69,All_Photoquad_codes_HeirarchyTr!$G$2:$G$111,All_Photoquad_codes_HeirarchyTr!C$2:C$111)</f>
        <v>UPMA</v>
      </c>
      <c r="G69" t="str">
        <f>_xlfn.XLOOKUP($I69,All_Photoquad_codes_HeirarchyTr!$G$2:$G$111,All_Photoquad_codes_HeirarchyTr!D$2:D$111)</f>
        <v>Upright macroalga</v>
      </c>
      <c r="H69" t="s">
        <v>365</v>
      </c>
      <c r="I69" t="s">
        <v>49</v>
      </c>
      <c r="J69" t="s">
        <v>50</v>
      </c>
      <c r="K69" t="s">
        <v>369</v>
      </c>
    </row>
    <row r="70" spans="1:11" x14ac:dyDescent="0.35">
      <c r="A70" t="s">
        <v>229</v>
      </c>
      <c r="B70" t="s">
        <v>230</v>
      </c>
      <c r="C70" t="s">
        <v>369</v>
      </c>
      <c r="D70" t="b">
        <v>0</v>
      </c>
      <c r="F70" t="str">
        <f>_xlfn.XLOOKUP($I70,All_Photoquad_codes_HeirarchyTr!$G$2:$G$111,All_Photoquad_codes_HeirarchyTr!C$2:C$111)</f>
        <v>UPMA</v>
      </c>
      <c r="G70" t="str">
        <f>_xlfn.XLOOKUP($I70,All_Photoquad_codes_HeirarchyTr!$G$2:$G$111,All_Photoquad_codes_HeirarchyTr!D$2:D$111)</f>
        <v>Upright macroalga</v>
      </c>
      <c r="H70" t="s">
        <v>365</v>
      </c>
      <c r="I70" t="s">
        <v>153</v>
      </c>
      <c r="J70" t="s">
        <v>154</v>
      </c>
      <c r="K70" t="s">
        <v>369</v>
      </c>
    </row>
    <row r="71" spans="1:11" x14ac:dyDescent="0.35">
      <c r="A71" t="s">
        <v>232</v>
      </c>
      <c r="B71" t="s">
        <v>233</v>
      </c>
      <c r="C71" t="s">
        <v>369</v>
      </c>
      <c r="D71" t="b">
        <v>0</v>
      </c>
      <c r="F71" t="str">
        <f>_xlfn.XLOOKUP($I71,All_Photoquad_codes_HeirarchyTr!$G$2:$G$111,All_Photoquad_codes_HeirarchyTr!C$2:C$111)</f>
        <v>UPMA</v>
      </c>
      <c r="G71" t="str">
        <f>_xlfn.XLOOKUP($I71,All_Photoquad_codes_HeirarchyTr!$G$2:$G$111,All_Photoquad_codes_HeirarchyTr!D$2:D$111)</f>
        <v>Upright macroalga</v>
      </c>
      <c r="H71" t="s">
        <v>365</v>
      </c>
      <c r="I71" t="s">
        <v>177</v>
      </c>
      <c r="J71" t="s">
        <v>178</v>
      </c>
      <c r="K71" t="s">
        <v>369</v>
      </c>
    </row>
    <row r="72" spans="1:11" x14ac:dyDescent="0.35">
      <c r="A72" t="s">
        <v>243</v>
      </c>
      <c r="B72" t="s">
        <v>244</v>
      </c>
      <c r="C72" t="s">
        <v>369</v>
      </c>
      <c r="D72" t="b">
        <v>0</v>
      </c>
      <c r="F72" t="str">
        <f>_xlfn.XLOOKUP($I72,All_Photoquad_codes_HeirarchyTr!$G$2:$G$111,All_Photoquad_codes_HeirarchyTr!C$2:C$111)</f>
        <v>UPMA</v>
      </c>
      <c r="G72" t="str">
        <f>_xlfn.XLOOKUP($I72,All_Photoquad_codes_HeirarchyTr!$G$2:$G$111,All_Photoquad_codes_HeirarchyTr!D$2:D$111)</f>
        <v>Upright macroalga</v>
      </c>
      <c r="H72" t="s">
        <v>365</v>
      </c>
      <c r="I72" t="s">
        <v>190</v>
      </c>
      <c r="J72" t="s">
        <v>191</v>
      </c>
      <c r="K72" t="s">
        <v>369</v>
      </c>
    </row>
    <row r="73" spans="1:11" x14ac:dyDescent="0.35">
      <c r="A73" t="s">
        <v>246</v>
      </c>
      <c r="B73" t="s">
        <v>247</v>
      </c>
      <c r="C73" t="s">
        <v>369</v>
      </c>
      <c r="D73" t="b">
        <v>0</v>
      </c>
      <c r="F73" t="str">
        <f>_xlfn.XLOOKUP($I73,All_Photoquad_codes_HeirarchyTr!$G$2:$G$111,All_Photoquad_codes_HeirarchyTr!C$2:C$111)</f>
        <v>UPMA</v>
      </c>
      <c r="G73" t="str">
        <f>_xlfn.XLOOKUP($I73,All_Photoquad_codes_HeirarchyTr!$G$2:$G$111,All_Photoquad_codes_HeirarchyTr!D$2:D$111)</f>
        <v>Upright macroalga</v>
      </c>
      <c r="H73" t="s">
        <v>365</v>
      </c>
      <c r="I73" t="s">
        <v>229</v>
      </c>
      <c r="J73" t="s">
        <v>230</v>
      </c>
      <c r="K73" t="s">
        <v>369</v>
      </c>
    </row>
    <row r="74" spans="1:11" x14ac:dyDescent="0.35">
      <c r="A74" t="s">
        <v>249</v>
      </c>
      <c r="B74" t="s">
        <v>250</v>
      </c>
      <c r="C74" t="s">
        <v>369</v>
      </c>
      <c r="D74" t="b">
        <v>0</v>
      </c>
      <c r="F74" t="str">
        <f>_xlfn.XLOOKUP($I74,All_Photoquad_codes_HeirarchyTr!$G$2:$G$111,All_Photoquad_codes_HeirarchyTr!C$2:C$111)</f>
        <v>EMA</v>
      </c>
      <c r="G74" t="str">
        <f>_xlfn.XLOOKUP($I74,All_Photoquad_codes_HeirarchyTr!$G$2:$G$111,All_Photoquad_codes_HeirarchyTr!D$2:D$111)</f>
        <v>Encrusting macroalga</v>
      </c>
      <c r="H74" t="s">
        <v>365</v>
      </c>
      <c r="I74" t="s">
        <v>243</v>
      </c>
      <c r="J74" t="s">
        <v>244</v>
      </c>
      <c r="K74" t="s">
        <v>369</v>
      </c>
    </row>
    <row r="75" spans="1:11" x14ac:dyDescent="0.35">
      <c r="A75" t="s">
        <v>343</v>
      </c>
      <c r="B75" t="s">
        <v>344</v>
      </c>
      <c r="C75" t="s">
        <v>369</v>
      </c>
      <c r="D75" t="b">
        <v>0</v>
      </c>
      <c r="F75" t="str">
        <f>_xlfn.XLOOKUP($I75,All_Photoquad_codes_HeirarchyTr!$G$2:$G$111,All_Photoquad_codes_HeirarchyTr!C$2:C$111)</f>
        <v>UPMA</v>
      </c>
      <c r="G75" t="str">
        <f>_xlfn.XLOOKUP($I75,All_Photoquad_codes_HeirarchyTr!$G$2:$G$111,All_Photoquad_codes_HeirarchyTr!D$2:D$111)</f>
        <v>Upright macroalga</v>
      </c>
      <c r="H75" t="s">
        <v>365</v>
      </c>
      <c r="I75" t="s">
        <v>275</v>
      </c>
      <c r="J75" t="s">
        <v>276</v>
      </c>
      <c r="K75" t="s">
        <v>369</v>
      </c>
    </row>
    <row r="76" spans="1:11" x14ac:dyDescent="0.35">
      <c r="A76" t="s">
        <v>252</v>
      </c>
      <c r="B76" t="s">
        <v>253</v>
      </c>
      <c r="C76" t="s">
        <v>369</v>
      </c>
      <c r="D76" t="b">
        <v>0</v>
      </c>
      <c r="F76" t="str">
        <f>_xlfn.XLOOKUP($I76,All_Photoquad_codes_HeirarchyTr!$G$2:$G$111,All_Photoquad_codes_HeirarchyTr!C$2:C$111)</f>
        <v>UPMA</v>
      </c>
      <c r="G76" t="str">
        <f>_xlfn.XLOOKUP($I76,All_Photoquad_codes_HeirarchyTr!$G$2:$G$111,All_Photoquad_codes_HeirarchyTr!D$2:D$111)</f>
        <v>Upright macroalga</v>
      </c>
      <c r="H76" t="s">
        <v>365</v>
      </c>
      <c r="I76" t="s">
        <v>284</v>
      </c>
      <c r="J76" t="s">
        <v>285</v>
      </c>
      <c r="K76" t="s">
        <v>369</v>
      </c>
    </row>
    <row r="77" spans="1:11" x14ac:dyDescent="0.35">
      <c r="A77" t="s">
        <v>260</v>
      </c>
      <c r="B77" t="s">
        <v>261</v>
      </c>
      <c r="C77" t="s">
        <v>369</v>
      </c>
      <c r="D77" t="b">
        <v>0</v>
      </c>
      <c r="F77" t="s">
        <v>196</v>
      </c>
      <c r="G77" t="s">
        <v>197</v>
      </c>
      <c r="H77" t="s">
        <v>364</v>
      </c>
      <c r="I77" t="s">
        <v>198</v>
      </c>
      <c r="J77" t="s">
        <v>199</v>
      </c>
      <c r="K77" t="s">
        <v>365</v>
      </c>
    </row>
    <row r="78" spans="1:11" x14ac:dyDescent="0.35">
      <c r="A78" t="s">
        <v>255</v>
      </c>
      <c r="B78" t="s">
        <v>256</v>
      </c>
      <c r="C78" t="s">
        <v>369</v>
      </c>
      <c r="D78" t="b">
        <v>0</v>
      </c>
      <c r="F78" t="str">
        <f>_xlfn.XLOOKUP($I78,All_Photoquad_codes_HeirarchyTr!$G$2:$G$111,All_Photoquad_codes_HeirarchyTr!E$2:E$111)</f>
        <v>RDMA</v>
      </c>
      <c r="G78" t="str">
        <f>_xlfn.XLOOKUP($I78,All_Photoquad_codes_HeirarchyTr!$G$2:$G$111,All_Photoquad_codes_HeirarchyTr!F$2:F$111)</f>
        <v>Red macroalgae</v>
      </c>
      <c r="H78" t="s">
        <v>369</v>
      </c>
      <c r="I78" t="s">
        <v>351</v>
      </c>
      <c r="J78" t="s">
        <v>352</v>
      </c>
      <c r="K78" t="s">
        <v>370</v>
      </c>
    </row>
    <row r="79" spans="1:11" x14ac:dyDescent="0.35">
      <c r="A79" t="s">
        <v>272</v>
      </c>
      <c r="B79" t="s">
        <v>273</v>
      </c>
      <c r="C79" t="s">
        <v>369</v>
      </c>
      <c r="D79" t="b">
        <v>0</v>
      </c>
      <c r="F79" t="str">
        <f>_xlfn.XLOOKUP($I79,All_Photoquad_codes_HeirarchyTr!$G$2:$G$111,All_Photoquad_codes_HeirarchyTr!E$2:E$111)</f>
        <v>RDMA</v>
      </c>
      <c r="G79" t="str">
        <f>_xlfn.XLOOKUP($I79,All_Photoquad_codes_HeirarchyTr!$G$2:$G$111,All_Photoquad_codes_HeirarchyTr!F$2:F$111)</f>
        <v>Red macroalgae</v>
      </c>
      <c r="H79" t="s">
        <v>369</v>
      </c>
      <c r="I79" t="s">
        <v>353</v>
      </c>
      <c r="J79" t="s">
        <v>354</v>
      </c>
      <c r="K79" t="s">
        <v>370</v>
      </c>
    </row>
    <row r="80" spans="1:11" x14ac:dyDescent="0.35">
      <c r="A80" t="s">
        <v>275</v>
      </c>
      <c r="B80" t="s">
        <v>276</v>
      </c>
      <c r="C80" t="s">
        <v>369</v>
      </c>
      <c r="D80" t="b">
        <v>0</v>
      </c>
      <c r="F80" t="str">
        <f>_xlfn.XLOOKUP($I80,All_Photoquad_codes_HeirarchyTr!$G$2:$G$111,All_Photoquad_codes_HeirarchyTr!E$2:E$111)</f>
        <v>RDMA</v>
      </c>
      <c r="G80" t="str">
        <f>_xlfn.XLOOKUP($I80,All_Photoquad_codes_HeirarchyTr!$G$2:$G$111,All_Photoquad_codes_HeirarchyTr!F$2:F$111)</f>
        <v>Red macroalgae</v>
      </c>
      <c r="H80" t="s">
        <v>369</v>
      </c>
      <c r="I80" t="s">
        <v>357</v>
      </c>
      <c r="J80" t="s">
        <v>358</v>
      </c>
      <c r="K80" t="s">
        <v>370</v>
      </c>
    </row>
    <row r="81" spans="1:11" x14ac:dyDescent="0.35">
      <c r="A81" t="s">
        <v>281</v>
      </c>
      <c r="B81" t="s">
        <v>282</v>
      </c>
      <c r="C81" t="s">
        <v>369</v>
      </c>
      <c r="D81" t="b">
        <v>0</v>
      </c>
      <c r="F81" t="str">
        <f>_xlfn.XLOOKUP($I81,All_Photoquad_codes_HeirarchyTr!$G$2:$G$111,All_Photoquad_codes_HeirarchyTr!E$2:E$111)</f>
        <v>RDMA</v>
      </c>
      <c r="G81" t="str">
        <f>_xlfn.XLOOKUP($I81,All_Photoquad_codes_HeirarchyTr!$G$2:$G$111,All_Photoquad_codes_HeirarchyTr!F$2:F$111)</f>
        <v>Red macroalgae</v>
      </c>
      <c r="H81" t="s">
        <v>369</v>
      </c>
      <c r="I81" t="s">
        <v>355</v>
      </c>
      <c r="J81" t="s">
        <v>356</v>
      </c>
      <c r="K81" t="s">
        <v>370</v>
      </c>
    </row>
    <row r="82" spans="1:11" x14ac:dyDescent="0.35">
      <c r="A82" t="s">
        <v>284</v>
      </c>
      <c r="B82" t="s">
        <v>285</v>
      </c>
      <c r="C82" t="s">
        <v>369</v>
      </c>
      <c r="D82" t="b">
        <v>0</v>
      </c>
      <c r="F82" t="s">
        <v>218</v>
      </c>
      <c r="G82" t="s">
        <v>219</v>
      </c>
      <c r="H82" t="s">
        <v>364</v>
      </c>
      <c r="I82" t="s">
        <v>220</v>
      </c>
      <c r="J82" t="s">
        <v>221</v>
      </c>
      <c r="K82" t="s">
        <v>365</v>
      </c>
    </row>
    <row r="83" spans="1:11" x14ac:dyDescent="0.35">
      <c r="A83" t="s">
        <v>295</v>
      </c>
      <c r="B83" t="s">
        <v>296</v>
      </c>
      <c r="C83" t="s">
        <v>369</v>
      </c>
      <c r="D83" t="b">
        <v>0</v>
      </c>
      <c r="F83" t="s">
        <v>218</v>
      </c>
      <c r="G83" t="s">
        <v>219</v>
      </c>
      <c r="H83" t="s">
        <v>364</v>
      </c>
      <c r="I83" t="s">
        <v>325</v>
      </c>
      <c r="J83" t="s">
        <v>326</v>
      </c>
      <c r="K83" t="s">
        <v>365</v>
      </c>
    </row>
    <row r="84" spans="1:11" x14ac:dyDescent="0.35">
      <c r="A84" t="s">
        <v>298</v>
      </c>
      <c r="B84" t="s">
        <v>299</v>
      </c>
      <c r="C84" t="s">
        <v>369</v>
      </c>
      <c r="D84" t="b">
        <v>0</v>
      </c>
      <c r="F84" t="s">
        <v>87</v>
      </c>
      <c r="G84" t="s">
        <v>88</v>
      </c>
      <c r="H84" t="s">
        <v>364</v>
      </c>
      <c r="I84" t="s">
        <v>309</v>
      </c>
      <c r="J84" t="s">
        <v>310</v>
      </c>
      <c r="K84" t="s">
        <v>365</v>
      </c>
    </row>
    <row r="85" spans="1:11" x14ac:dyDescent="0.35">
      <c r="A85" t="s">
        <v>315</v>
      </c>
      <c r="B85" t="s">
        <v>316</v>
      </c>
      <c r="C85" t="s">
        <v>369</v>
      </c>
      <c r="D85" t="b">
        <v>0</v>
      </c>
      <c r="F85" t="s">
        <v>87</v>
      </c>
      <c r="G85" t="s">
        <v>88</v>
      </c>
      <c r="H85" t="s">
        <v>364</v>
      </c>
      <c r="I85" t="s">
        <v>312</v>
      </c>
      <c r="J85" t="s">
        <v>313</v>
      </c>
      <c r="K85" t="s">
        <v>365</v>
      </c>
    </row>
    <row r="86" spans="1:11" x14ac:dyDescent="0.35">
      <c r="A86" t="s">
        <v>351</v>
      </c>
      <c r="B86" t="s">
        <v>352</v>
      </c>
      <c r="C86" t="s">
        <v>370</v>
      </c>
      <c r="D86" t="b">
        <v>0</v>
      </c>
      <c r="F86" t="str">
        <f>_xlfn.XLOOKUP($I86,All_Photoquad_codes_HeirarchyTr!$E$2:$E$111,All_Photoquad_codes_HeirarchyTr!A$2:A$111)</f>
        <v>TURF</v>
      </c>
      <c r="G86" t="str">
        <f>_xlfn.XLOOKUP($I86,All_Photoquad_codes_HeirarchyTr!$E$2:$E$111,All_Photoquad_codes_HeirarchyTr!B$2:B$111)</f>
        <v>Turf Alga</v>
      </c>
      <c r="H86" t="s">
        <v>364</v>
      </c>
      <c r="I86" t="s">
        <v>91</v>
      </c>
      <c r="J86" t="s">
        <v>92</v>
      </c>
      <c r="K86" t="s">
        <v>369</v>
      </c>
    </row>
    <row r="87" spans="1:11" x14ac:dyDescent="0.35">
      <c r="A87" t="s">
        <v>353</v>
      </c>
      <c r="B87" t="s">
        <v>354</v>
      </c>
      <c r="C87" t="s">
        <v>370</v>
      </c>
      <c r="D87" t="b">
        <v>0</v>
      </c>
    </row>
    <row r="88" spans="1:11" x14ac:dyDescent="0.35">
      <c r="A88" t="s">
        <v>51</v>
      </c>
      <c r="B88" t="s">
        <v>52</v>
      </c>
      <c r="C88" t="s">
        <v>370</v>
      </c>
      <c r="D88" t="b">
        <v>0</v>
      </c>
    </row>
    <row r="89" spans="1:11" x14ac:dyDescent="0.35">
      <c r="A89" t="s">
        <v>347</v>
      </c>
      <c r="B89" t="s">
        <v>348</v>
      </c>
      <c r="C89" t="s">
        <v>370</v>
      </c>
      <c r="D89" t="b">
        <v>0</v>
      </c>
    </row>
    <row r="90" spans="1:11" x14ac:dyDescent="0.35">
      <c r="A90" t="s">
        <v>17</v>
      </c>
      <c r="B90" t="s">
        <v>18</v>
      </c>
      <c r="C90" t="s">
        <v>370</v>
      </c>
      <c r="D90" t="b">
        <v>0</v>
      </c>
    </row>
    <row r="91" spans="1:11" x14ac:dyDescent="0.35">
      <c r="A91" t="s">
        <v>67</v>
      </c>
      <c r="B91" t="s">
        <v>68</v>
      </c>
      <c r="C91" t="s">
        <v>370</v>
      </c>
      <c r="D91" t="b">
        <v>0</v>
      </c>
    </row>
    <row r="92" spans="1:11" x14ac:dyDescent="0.35">
      <c r="A92" t="s">
        <v>349</v>
      </c>
      <c r="B92" t="s">
        <v>350</v>
      </c>
      <c r="C92" t="s">
        <v>370</v>
      </c>
      <c r="D92" t="b">
        <v>0</v>
      </c>
    </row>
    <row r="93" spans="1:11" x14ac:dyDescent="0.35">
      <c r="A93" t="s">
        <v>81</v>
      </c>
      <c r="B93" t="s">
        <v>82</v>
      </c>
      <c r="C93" t="s">
        <v>370</v>
      </c>
      <c r="D93" t="b">
        <v>0</v>
      </c>
    </row>
    <row r="94" spans="1:11" x14ac:dyDescent="0.35">
      <c r="A94" t="s">
        <v>97</v>
      </c>
      <c r="B94" t="s">
        <v>98</v>
      </c>
      <c r="C94" t="s">
        <v>370</v>
      </c>
      <c r="D94" t="b">
        <v>0</v>
      </c>
    </row>
    <row r="95" spans="1:11" x14ac:dyDescent="0.35">
      <c r="A95" t="s">
        <v>12</v>
      </c>
      <c r="B95" t="s">
        <v>13</v>
      </c>
      <c r="C95" t="s">
        <v>370</v>
      </c>
      <c r="D95" t="b">
        <v>0</v>
      </c>
    </row>
    <row r="96" spans="1:11" x14ac:dyDescent="0.35">
      <c r="A96" t="s">
        <v>130</v>
      </c>
      <c r="B96" t="s">
        <v>131</v>
      </c>
      <c r="C96" t="s">
        <v>370</v>
      </c>
      <c r="D96" t="b">
        <v>0</v>
      </c>
    </row>
    <row r="97" spans="1:4" x14ac:dyDescent="0.35">
      <c r="A97" t="s">
        <v>357</v>
      </c>
      <c r="B97" t="s">
        <v>358</v>
      </c>
      <c r="C97" t="s">
        <v>370</v>
      </c>
      <c r="D97" t="b">
        <v>0</v>
      </c>
    </row>
    <row r="98" spans="1:4" x14ac:dyDescent="0.35">
      <c r="A98" t="s">
        <v>355</v>
      </c>
      <c r="B98" t="s">
        <v>356</v>
      </c>
      <c r="C98" t="s">
        <v>370</v>
      </c>
      <c r="D98" t="b">
        <v>0</v>
      </c>
    </row>
    <row r="99" spans="1:4" x14ac:dyDescent="0.35">
      <c r="A99" t="s">
        <v>215</v>
      </c>
      <c r="B99" t="s">
        <v>216</v>
      </c>
      <c r="C99" t="s">
        <v>370</v>
      </c>
      <c r="D99" t="b">
        <v>0</v>
      </c>
    </row>
  </sheetData>
  <sortState xmlns:xlrd2="http://schemas.microsoft.com/office/spreadsheetml/2017/richdata2" ref="F2:L86">
    <sortCondition ref="F2:F86"/>
    <sortCondition ref="K2:K86"/>
  </sortState>
  <conditionalFormatting sqref="D2:D99 L22:L90">
    <cfRule type="cellIs" dxfId="1" priority="2" operator="equal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workbookViewId="0">
      <selection activeCell="B35" sqref="B35"/>
    </sheetView>
  </sheetViews>
  <sheetFormatPr defaultRowHeight="14.5" x14ac:dyDescent="0.35"/>
  <cols>
    <col min="1" max="1" width="15.54296875" bestFit="1" customWidth="1"/>
    <col min="2" max="2" width="27.6328125" bestFit="1" customWidth="1"/>
    <col min="3" max="3" width="9.6328125" bestFit="1" customWidth="1"/>
    <col min="4" max="4" width="5.6328125" bestFit="1" customWidth="1"/>
  </cols>
  <sheetData>
    <row r="1" spans="1:4" x14ac:dyDescent="0.35">
      <c r="A1" t="s">
        <v>359</v>
      </c>
      <c r="B1" t="s">
        <v>363</v>
      </c>
      <c r="C1" t="s">
        <v>361</v>
      </c>
      <c r="D1" t="s">
        <v>371</v>
      </c>
    </row>
    <row r="2" spans="1:4" x14ac:dyDescent="0.35">
      <c r="A2" t="s">
        <v>70</v>
      </c>
      <c r="B2" t="s">
        <v>71</v>
      </c>
      <c r="C2" t="s">
        <v>364</v>
      </c>
      <c r="D2" t="b">
        <v>0</v>
      </c>
    </row>
    <row r="3" spans="1:4" x14ac:dyDescent="0.35">
      <c r="A3" t="s">
        <v>10</v>
      </c>
      <c r="B3" t="s">
        <v>11</v>
      </c>
      <c r="C3" t="s">
        <v>364</v>
      </c>
      <c r="D3" t="b">
        <v>0</v>
      </c>
    </row>
    <row r="4" spans="1:4" x14ac:dyDescent="0.35">
      <c r="A4" t="s">
        <v>29</v>
      </c>
      <c r="B4" t="s">
        <v>30</v>
      </c>
      <c r="C4" t="s">
        <v>364</v>
      </c>
      <c r="D4" t="b">
        <v>0</v>
      </c>
    </row>
    <row r="5" spans="1:4" x14ac:dyDescent="0.35">
      <c r="A5" t="s">
        <v>34</v>
      </c>
      <c r="B5" t="s">
        <v>35</v>
      </c>
      <c r="C5" t="s">
        <v>364</v>
      </c>
      <c r="D5" t="b">
        <v>0</v>
      </c>
    </row>
    <row r="6" spans="1:4" x14ac:dyDescent="0.35">
      <c r="A6" t="s">
        <v>196</v>
      </c>
      <c r="B6" t="s">
        <v>197</v>
      </c>
      <c r="C6" t="s">
        <v>364</v>
      </c>
      <c r="D6" t="b">
        <v>0</v>
      </c>
    </row>
    <row r="7" spans="1:4" x14ac:dyDescent="0.35">
      <c r="A7" t="s">
        <v>218</v>
      </c>
      <c r="B7" t="s">
        <v>219</v>
      </c>
      <c r="C7" t="s">
        <v>364</v>
      </c>
      <c r="D7" t="b">
        <v>0</v>
      </c>
    </row>
    <row r="8" spans="1:4" x14ac:dyDescent="0.35">
      <c r="A8" t="s">
        <v>87</v>
      </c>
      <c r="B8" t="s">
        <v>88</v>
      </c>
      <c r="C8" t="s">
        <v>364</v>
      </c>
      <c r="D8" t="b">
        <v>0</v>
      </c>
    </row>
    <row r="9" spans="1:4" x14ac:dyDescent="0.35">
      <c r="A9" t="s">
        <v>31</v>
      </c>
      <c r="B9" t="s">
        <v>32</v>
      </c>
      <c r="C9" t="s">
        <v>365</v>
      </c>
      <c r="D9" t="b">
        <v>0</v>
      </c>
    </row>
    <row r="10" spans="1:4" x14ac:dyDescent="0.35">
      <c r="A10" t="s">
        <v>334</v>
      </c>
      <c r="B10" t="s">
        <v>335</v>
      </c>
      <c r="C10" t="s">
        <v>365</v>
      </c>
      <c r="D10" t="b">
        <v>0</v>
      </c>
    </row>
    <row r="11" spans="1:4" x14ac:dyDescent="0.35">
      <c r="A11" t="s">
        <v>57</v>
      </c>
      <c r="B11" t="s">
        <v>58</v>
      </c>
      <c r="C11" t="s">
        <v>365</v>
      </c>
      <c r="D11" t="b">
        <v>0</v>
      </c>
    </row>
    <row r="12" spans="1:4" x14ac:dyDescent="0.35">
      <c r="A12" t="s">
        <v>64</v>
      </c>
      <c r="B12" t="s">
        <v>65</v>
      </c>
      <c r="C12" t="s">
        <v>365</v>
      </c>
      <c r="D12" t="b">
        <v>0</v>
      </c>
    </row>
    <row r="13" spans="1:4" x14ac:dyDescent="0.35">
      <c r="A13" t="s">
        <v>72</v>
      </c>
      <c r="B13" t="s">
        <v>73</v>
      </c>
      <c r="C13" t="s">
        <v>365</v>
      </c>
      <c r="D13" t="b">
        <v>0</v>
      </c>
    </row>
    <row r="14" spans="1:4" x14ac:dyDescent="0.35">
      <c r="A14" t="s">
        <v>75</v>
      </c>
      <c r="B14" t="s">
        <v>76</v>
      </c>
      <c r="C14" t="s">
        <v>365</v>
      </c>
      <c r="D14" t="b">
        <v>0</v>
      </c>
    </row>
    <row r="15" spans="1:4" x14ac:dyDescent="0.35">
      <c r="A15" t="s">
        <v>78</v>
      </c>
      <c r="B15" t="s">
        <v>79</v>
      </c>
      <c r="C15" t="s">
        <v>365</v>
      </c>
      <c r="D15" t="b">
        <v>0</v>
      </c>
    </row>
    <row r="16" spans="1:4" x14ac:dyDescent="0.35">
      <c r="A16" t="s">
        <v>112</v>
      </c>
      <c r="B16" t="s">
        <v>113</v>
      </c>
      <c r="C16" t="s">
        <v>365</v>
      </c>
      <c r="D16" t="b">
        <v>0</v>
      </c>
    </row>
    <row r="17" spans="1:4" x14ac:dyDescent="0.35">
      <c r="A17" t="s">
        <v>142</v>
      </c>
      <c r="B17" t="s">
        <v>143</v>
      </c>
      <c r="C17" t="s">
        <v>365</v>
      </c>
      <c r="D17" t="b">
        <v>0</v>
      </c>
    </row>
    <row r="18" spans="1:4" x14ac:dyDescent="0.35">
      <c r="A18" t="s">
        <v>198</v>
      </c>
      <c r="B18" t="s">
        <v>199</v>
      </c>
      <c r="C18" t="s">
        <v>365</v>
      </c>
      <c r="D18" t="b">
        <v>0</v>
      </c>
    </row>
    <row r="19" spans="1:4" x14ac:dyDescent="0.35">
      <c r="A19" t="s">
        <v>157</v>
      </c>
      <c r="B19" t="s">
        <v>158</v>
      </c>
      <c r="C19" t="s">
        <v>365</v>
      </c>
      <c r="D19" t="b">
        <v>0</v>
      </c>
    </row>
    <row r="20" spans="1:4" x14ac:dyDescent="0.35">
      <c r="A20" t="s">
        <v>220</v>
      </c>
      <c r="B20" t="s">
        <v>221</v>
      </c>
      <c r="C20" t="s">
        <v>365</v>
      </c>
      <c r="D20" t="b">
        <v>0</v>
      </c>
    </row>
    <row r="21" spans="1:4" x14ac:dyDescent="0.35">
      <c r="A21" t="s">
        <v>292</v>
      </c>
      <c r="B21" t="s">
        <v>293</v>
      </c>
      <c r="C21" t="s">
        <v>365</v>
      </c>
      <c r="D21" t="b">
        <v>0</v>
      </c>
    </row>
    <row r="22" spans="1:4" x14ac:dyDescent="0.35">
      <c r="A22" t="s">
        <v>306</v>
      </c>
      <c r="B22" t="s">
        <v>307</v>
      </c>
      <c r="C22" t="s">
        <v>365</v>
      </c>
      <c r="D22" t="b">
        <v>0</v>
      </c>
    </row>
    <row r="23" spans="1:4" x14ac:dyDescent="0.35">
      <c r="A23" t="s">
        <v>309</v>
      </c>
      <c r="B23" t="s">
        <v>310</v>
      </c>
      <c r="C23" t="s">
        <v>365</v>
      </c>
      <c r="D23" t="b">
        <v>0</v>
      </c>
    </row>
    <row r="24" spans="1:4" x14ac:dyDescent="0.35">
      <c r="A24" t="s">
        <v>312</v>
      </c>
      <c r="B24" t="s">
        <v>313</v>
      </c>
      <c r="C24" t="s">
        <v>365</v>
      </c>
      <c r="D24" t="b">
        <v>0</v>
      </c>
    </row>
    <row r="25" spans="1:4" x14ac:dyDescent="0.35">
      <c r="A25" t="s">
        <v>318</v>
      </c>
      <c r="B25" t="s">
        <v>319</v>
      </c>
      <c r="C25" t="s">
        <v>365</v>
      </c>
      <c r="D25" t="b">
        <v>0</v>
      </c>
    </row>
    <row r="26" spans="1:4" x14ac:dyDescent="0.35">
      <c r="A26" t="s">
        <v>36</v>
      </c>
      <c r="B26" t="s">
        <v>37</v>
      </c>
      <c r="C26" t="s">
        <v>365</v>
      </c>
      <c r="D26" t="b">
        <v>0</v>
      </c>
    </row>
    <row r="27" spans="1:4" x14ac:dyDescent="0.35">
      <c r="A27" t="s">
        <v>325</v>
      </c>
      <c r="B27" t="s">
        <v>326</v>
      </c>
      <c r="C27" t="s">
        <v>365</v>
      </c>
      <c r="D27" t="b">
        <v>0</v>
      </c>
    </row>
    <row r="28" spans="1:4" x14ac:dyDescent="0.35">
      <c r="A28" t="s">
        <v>331</v>
      </c>
      <c r="B28" t="s">
        <v>332</v>
      </c>
      <c r="C28" t="s">
        <v>365</v>
      </c>
      <c r="D28" t="b">
        <v>0</v>
      </c>
    </row>
    <row r="29" spans="1:4" x14ac:dyDescent="0.35">
      <c r="A29" t="s">
        <v>14</v>
      </c>
      <c r="B29" t="s">
        <v>15</v>
      </c>
      <c r="C29" t="s">
        <v>369</v>
      </c>
      <c r="D29" t="b">
        <v>0</v>
      </c>
    </row>
    <row r="30" spans="1:4" x14ac:dyDescent="0.35">
      <c r="A30" t="s">
        <v>19</v>
      </c>
      <c r="B30" t="s">
        <v>20</v>
      </c>
      <c r="C30" t="s">
        <v>369</v>
      </c>
      <c r="D30" t="b">
        <v>0</v>
      </c>
    </row>
    <row r="31" spans="1:4" x14ac:dyDescent="0.35">
      <c r="A31" t="s">
        <v>38</v>
      </c>
      <c r="B31" t="s">
        <v>39</v>
      </c>
      <c r="C31" t="s">
        <v>369</v>
      </c>
      <c r="D31" t="b">
        <v>0</v>
      </c>
    </row>
    <row r="32" spans="1:4" x14ac:dyDescent="0.35">
      <c r="A32" t="s">
        <v>41</v>
      </c>
      <c r="B32" t="s">
        <v>42</v>
      </c>
      <c r="C32" t="s">
        <v>369</v>
      </c>
      <c r="D32" t="b">
        <v>0</v>
      </c>
    </row>
    <row r="33" spans="1:4" x14ac:dyDescent="0.35">
      <c r="A33" t="s">
        <v>46</v>
      </c>
      <c r="B33" t="s">
        <v>47</v>
      </c>
      <c r="C33" t="s">
        <v>369</v>
      </c>
      <c r="D33" t="b">
        <v>0</v>
      </c>
    </row>
    <row r="34" spans="1:4" x14ac:dyDescent="0.35">
      <c r="A34" t="s">
        <v>54</v>
      </c>
      <c r="B34" t="s">
        <v>55</v>
      </c>
      <c r="C34" t="s">
        <v>369</v>
      </c>
      <c r="D34" t="b">
        <v>0</v>
      </c>
    </row>
    <row r="35" spans="1:4" x14ac:dyDescent="0.35">
      <c r="A35" t="s">
        <v>61</v>
      </c>
      <c r="B35" t="s">
        <v>62</v>
      </c>
      <c r="C35" t="s">
        <v>369</v>
      </c>
      <c r="D35" t="b">
        <v>0</v>
      </c>
    </row>
    <row r="36" spans="1:4" x14ac:dyDescent="0.35">
      <c r="A36" t="s">
        <v>84</v>
      </c>
      <c r="B36" t="s">
        <v>85</v>
      </c>
      <c r="C36" t="s">
        <v>369</v>
      </c>
      <c r="D36" t="b">
        <v>0</v>
      </c>
    </row>
    <row r="37" spans="1:4" x14ac:dyDescent="0.35">
      <c r="A37" t="s">
        <v>91</v>
      </c>
      <c r="B37" t="s">
        <v>92</v>
      </c>
      <c r="C37" t="s">
        <v>369</v>
      </c>
      <c r="D37" t="b">
        <v>0</v>
      </c>
    </row>
    <row r="38" spans="1:4" x14ac:dyDescent="0.35">
      <c r="A38" t="s">
        <v>94</v>
      </c>
      <c r="B38" t="s">
        <v>95</v>
      </c>
      <c r="C38" t="s">
        <v>369</v>
      </c>
      <c r="D38" t="b">
        <v>0</v>
      </c>
    </row>
    <row r="39" spans="1:4" x14ac:dyDescent="0.35">
      <c r="A39" t="s">
        <v>100</v>
      </c>
      <c r="B39" t="s">
        <v>101</v>
      </c>
      <c r="C39" t="s">
        <v>369</v>
      </c>
      <c r="D39" t="b">
        <v>0</v>
      </c>
    </row>
    <row r="40" spans="1:4" x14ac:dyDescent="0.35">
      <c r="A40" t="s">
        <v>103</v>
      </c>
      <c r="B40" t="s">
        <v>104</v>
      </c>
      <c r="C40" t="s">
        <v>369</v>
      </c>
      <c r="D40" t="b">
        <v>0</v>
      </c>
    </row>
    <row r="41" spans="1:4" x14ac:dyDescent="0.35">
      <c r="A41" t="s">
        <v>106</v>
      </c>
      <c r="B41" t="s">
        <v>107</v>
      </c>
      <c r="C41" t="s">
        <v>369</v>
      </c>
      <c r="D41" t="b">
        <v>0</v>
      </c>
    </row>
    <row r="42" spans="1:4" x14ac:dyDescent="0.35">
      <c r="A42" t="s">
        <v>109</v>
      </c>
      <c r="B42" t="s">
        <v>110</v>
      </c>
      <c r="C42" t="s">
        <v>369</v>
      </c>
      <c r="D42" t="b">
        <v>0</v>
      </c>
    </row>
    <row r="43" spans="1:4" x14ac:dyDescent="0.35">
      <c r="A43" t="s">
        <v>116</v>
      </c>
      <c r="B43" t="s">
        <v>117</v>
      </c>
      <c r="C43" t="s">
        <v>369</v>
      </c>
      <c r="D43" t="b">
        <v>0</v>
      </c>
    </row>
    <row r="44" spans="1:4" x14ac:dyDescent="0.35">
      <c r="A44" t="s">
        <v>119</v>
      </c>
      <c r="B44" t="s">
        <v>120</v>
      </c>
      <c r="C44" t="s">
        <v>369</v>
      </c>
      <c r="D44" t="b">
        <v>0</v>
      </c>
    </row>
    <row r="45" spans="1:4" x14ac:dyDescent="0.35">
      <c r="A45" t="s">
        <v>122</v>
      </c>
      <c r="B45" t="s">
        <v>123</v>
      </c>
      <c r="C45" t="s">
        <v>369</v>
      </c>
      <c r="D45" t="b">
        <v>0</v>
      </c>
    </row>
    <row r="46" spans="1:4" x14ac:dyDescent="0.35">
      <c r="A46" t="s">
        <v>127</v>
      </c>
      <c r="B46" t="s">
        <v>128</v>
      </c>
      <c r="C46" t="s">
        <v>369</v>
      </c>
      <c r="D46" t="b">
        <v>0</v>
      </c>
    </row>
    <row r="47" spans="1:4" x14ac:dyDescent="0.35">
      <c r="A47" t="s">
        <v>136</v>
      </c>
      <c r="B47" t="s">
        <v>137</v>
      </c>
      <c r="C47" t="s">
        <v>369</v>
      </c>
      <c r="D47" t="b">
        <v>0</v>
      </c>
    </row>
    <row r="48" spans="1:4" x14ac:dyDescent="0.35">
      <c r="A48" t="s">
        <v>139</v>
      </c>
      <c r="B48" t="s">
        <v>140</v>
      </c>
      <c r="C48" t="s">
        <v>369</v>
      </c>
      <c r="D48" t="b">
        <v>0</v>
      </c>
    </row>
    <row r="49" spans="1:4" x14ac:dyDescent="0.35">
      <c r="A49" t="s">
        <v>145</v>
      </c>
      <c r="B49" t="s">
        <v>146</v>
      </c>
      <c r="C49" t="s">
        <v>369</v>
      </c>
      <c r="D49" t="b">
        <v>0</v>
      </c>
    </row>
    <row r="50" spans="1:4" x14ac:dyDescent="0.35">
      <c r="A50" t="s">
        <v>148</v>
      </c>
      <c r="B50" t="s">
        <v>149</v>
      </c>
      <c r="C50" t="s">
        <v>369</v>
      </c>
      <c r="D50" t="b">
        <v>0</v>
      </c>
    </row>
    <row r="51" spans="1:4" x14ac:dyDescent="0.35">
      <c r="A51" t="s">
        <v>49</v>
      </c>
      <c r="B51" t="s">
        <v>50</v>
      </c>
      <c r="C51" t="s">
        <v>369</v>
      </c>
      <c r="D51" t="b">
        <v>0</v>
      </c>
    </row>
    <row r="52" spans="1:4" x14ac:dyDescent="0.35">
      <c r="A52" t="s">
        <v>153</v>
      </c>
      <c r="B52" t="s">
        <v>154</v>
      </c>
      <c r="C52" t="s">
        <v>369</v>
      </c>
      <c r="D52" t="b">
        <v>0</v>
      </c>
    </row>
    <row r="53" spans="1:4" x14ac:dyDescent="0.35">
      <c r="A53" t="s">
        <v>159</v>
      </c>
      <c r="B53" t="s">
        <v>160</v>
      </c>
      <c r="C53" t="s">
        <v>369</v>
      </c>
      <c r="D53" t="b">
        <v>0</v>
      </c>
    </row>
    <row r="54" spans="1:4" x14ac:dyDescent="0.35">
      <c r="A54" t="s">
        <v>162</v>
      </c>
      <c r="B54" t="s">
        <v>163</v>
      </c>
      <c r="C54" t="s">
        <v>369</v>
      </c>
      <c r="D54" t="b">
        <v>0</v>
      </c>
    </row>
    <row r="55" spans="1:4" x14ac:dyDescent="0.35">
      <c r="A55" t="s">
        <v>165</v>
      </c>
      <c r="B55" t="s">
        <v>166</v>
      </c>
      <c r="C55" t="s">
        <v>369</v>
      </c>
      <c r="D55" t="b">
        <v>0</v>
      </c>
    </row>
    <row r="56" spans="1:4" x14ac:dyDescent="0.35">
      <c r="A56" t="s">
        <v>168</v>
      </c>
      <c r="B56" t="s">
        <v>169</v>
      </c>
      <c r="C56" t="s">
        <v>369</v>
      </c>
      <c r="D56" t="b">
        <v>0</v>
      </c>
    </row>
    <row r="57" spans="1:4" x14ac:dyDescent="0.35">
      <c r="A57" t="s">
        <v>171</v>
      </c>
      <c r="B57" t="s">
        <v>172</v>
      </c>
      <c r="C57" t="s">
        <v>369</v>
      </c>
      <c r="D57" t="b">
        <v>0</v>
      </c>
    </row>
    <row r="58" spans="1:4" x14ac:dyDescent="0.35">
      <c r="A58" t="s">
        <v>174</v>
      </c>
      <c r="B58" t="s">
        <v>175</v>
      </c>
      <c r="C58" t="s">
        <v>369</v>
      </c>
      <c r="D58" t="b">
        <v>0</v>
      </c>
    </row>
    <row r="59" spans="1:4" x14ac:dyDescent="0.35">
      <c r="A59" t="s">
        <v>177</v>
      </c>
      <c r="B59" t="s">
        <v>178</v>
      </c>
      <c r="C59" t="s">
        <v>369</v>
      </c>
      <c r="D59" t="b">
        <v>0</v>
      </c>
    </row>
    <row r="60" spans="1:4" x14ac:dyDescent="0.35">
      <c r="A60" t="s">
        <v>180</v>
      </c>
      <c r="B60" t="s">
        <v>181</v>
      </c>
      <c r="C60" t="s">
        <v>369</v>
      </c>
      <c r="D60" t="b">
        <v>0</v>
      </c>
    </row>
    <row r="61" spans="1:4" x14ac:dyDescent="0.35">
      <c r="A61" t="s">
        <v>337</v>
      </c>
      <c r="B61" t="s">
        <v>338</v>
      </c>
      <c r="C61" t="s">
        <v>369</v>
      </c>
      <c r="D61" t="b">
        <v>0</v>
      </c>
    </row>
    <row r="62" spans="1:4" x14ac:dyDescent="0.35">
      <c r="A62" t="s">
        <v>183</v>
      </c>
      <c r="B62" t="s">
        <v>184</v>
      </c>
      <c r="C62" t="s">
        <v>369</v>
      </c>
      <c r="D62" t="b">
        <v>0</v>
      </c>
    </row>
    <row r="63" spans="1:4" x14ac:dyDescent="0.35">
      <c r="A63" t="s">
        <v>187</v>
      </c>
      <c r="B63" t="s">
        <v>188</v>
      </c>
      <c r="C63" t="s">
        <v>369</v>
      </c>
      <c r="D63" t="b">
        <v>0</v>
      </c>
    </row>
    <row r="64" spans="1:4" x14ac:dyDescent="0.35">
      <c r="A64" t="s">
        <v>190</v>
      </c>
      <c r="B64" t="s">
        <v>191</v>
      </c>
      <c r="C64" t="s">
        <v>369</v>
      </c>
      <c r="D64" t="b">
        <v>0</v>
      </c>
    </row>
    <row r="65" spans="1:4" x14ac:dyDescent="0.35">
      <c r="A65" t="s">
        <v>193</v>
      </c>
      <c r="B65" t="s">
        <v>194</v>
      </c>
      <c r="C65" t="s">
        <v>369</v>
      </c>
      <c r="D65" t="b">
        <v>0</v>
      </c>
    </row>
    <row r="66" spans="1:4" x14ac:dyDescent="0.35">
      <c r="A66" t="s">
        <v>212</v>
      </c>
      <c r="B66" t="s">
        <v>213</v>
      </c>
      <c r="C66" t="s">
        <v>369</v>
      </c>
      <c r="D66" t="b">
        <v>0</v>
      </c>
    </row>
    <row r="67" spans="1:4" x14ac:dyDescent="0.35">
      <c r="A67" t="s">
        <v>201</v>
      </c>
      <c r="B67" t="s">
        <v>202</v>
      </c>
      <c r="C67" t="s">
        <v>369</v>
      </c>
      <c r="D67" t="b">
        <v>0</v>
      </c>
    </row>
    <row r="68" spans="1:4" x14ac:dyDescent="0.35">
      <c r="A68" t="s">
        <v>223</v>
      </c>
      <c r="B68" t="s">
        <v>224</v>
      </c>
      <c r="C68" t="s">
        <v>369</v>
      </c>
      <c r="D68" t="b">
        <v>0</v>
      </c>
    </row>
    <row r="69" spans="1:4" x14ac:dyDescent="0.35">
      <c r="A69" t="s">
        <v>226</v>
      </c>
      <c r="B69" t="s">
        <v>227</v>
      </c>
      <c r="C69" t="s">
        <v>369</v>
      </c>
      <c r="D69" t="b">
        <v>0</v>
      </c>
    </row>
    <row r="70" spans="1:4" x14ac:dyDescent="0.35">
      <c r="A70" t="s">
        <v>229</v>
      </c>
      <c r="B70" t="s">
        <v>230</v>
      </c>
      <c r="C70" t="s">
        <v>369</v>
      </c>
      <c r="D70" t="b">
        <v>0</v>
      </c>
    </row>
    <row r="71" spans="1:4" x14ac:dyDescent="0.35">
      <c r="A71" t="s">
        <v>232</v>
      </c>
      <c r="B71" t="s">
        <v>233</v>
      </c>
      <c r="C71" t="s">
        <v>369</v>
      </c>
      <c r="D71" t="b">
        <v>0</v>
      </c>
    </row>
    <row r="72" spans="1:4" x14ac:dyDescent="0.35">
      <c r="A72" t="s">
        <v>243</v>
      </c>
      <c r="B72" t="s">
        <v>244</v>
      </c>
      <c r="C72" t="s">
        <v>369</v>
      </c>
      <c r="D72" t="b">
        <v>0</v>
      </c>
    </row>
    <row r="73" spans="1:4" x14ac:dyDescent="0.35">
      <c r="A73" t="s">
        <v>246</v>
      </c>
      <c r="B73" t="s">
        <v>247</v>
      </c>
      <c r="C73" t="s">
        <v>369</v>
      </c>
      <c r="D73" t="b">
        <v>0</v>
      </c>
    </row>
    <row r="74" spans="1:4" x14ac:dyDescent="0.35">
      <c r="A74" t="s">
        <v>249</v>
      </c>
      <c r="B74" t="s">
        <v>250</v>
      </c>
      <c r="C74" t="s">
        <v>369</v>
      </c>
      <c r="D74" t="b">
        <v>0</v>
      </c>
    </row>
    <row r="75" spans="1:4" x14ac:dyDescent="0.35">
      <c r="A75" t="s">
        <v>343</v>
      </c>
      <c r="B75" t="s">
        <v>344</v>
      </c>
      <c r="C75" t="s">
        <v>369</v>
      </c>
      <c r="D75" t="b">
        <v>0</v>
      </c>
    </row>
    <row r="76" spans="1:4" x14ac:dyDescent="0.35">
      <c r="A76" t="s">
        <v>252</v>
      </c>
      <c r="B76" t="s">
        <v>253</v>
      </c>
      <c r="C76" t="s">
        <v>369</v>
      </c>
      <c r="D76" t="b">
        <v>0</v>
      </c>
    </row>
    <row r="77" spans="1:4" x14ac:dyDescent="0.35">
      <c r="A77" t="s">
        <v>260</v>
      </c>
      <c r="B77" t="s">
        <v>261</v>
      </c>
      <c r="C77" t="s">
        <v>369</v>
      </c>
      <c r="D77" t="b">
        <v>0</v>
      </c>
    </row>
    <row r="78" spans="1:4" x14ac:dyDescent="0.35">
      <c r="A78" t="s">
        <v>255</v>
      </c>
      <c r="B78" t="s">
        <v>256</v>
      </c>
      <c r="C78" t="s">
        <v>369</v>
      </c>
      <c r="D78" t="b">
        <v>0</v>
      </c>
    </row>
    <row r="79" spans="1:4" x14ac:dyDescent="0.35">
      <c r="A79" t="s">
        <v>272</v>
      </c>
      <c r="B79" t="s">
        <v>273</v>
      </c>
      <c r="C79" t="s">
        <v>369</v>
      </c>
      <c r="D79" t="b">
        <v>0</v>
      </c>
    </row>
    <row r="80" spans="1:4" x14ac:dyDescent="0.35">
      <c r="A80" t="s">
        <v>275</v>
      </c>
      <c r="B80" t="s">
        <v>276</v>
      </c>
      <c r="C80" t="s">
        <v>369</v>
      </c>
      <c r="D80" t="b">
        <v>0</v>
      </c>
    </row>
    <row r="81" spans="1:4" x14ac:dyDescent="0.35">
      <c r="A81" t="s">
        <v>281</v>
      </c>
      <c r="B81" t="s">
        <v>282</v>
      </c>
      <c r="C81" t="s">
        <v>369</v>
      </c>
      <c r="D81" t="b">
        <v>0</v>
      </c>
    </row>
    <row r="82" spans="1:4" x14ac:dyDescent="0.35">
      <c r="A82" t="s">
        <v>284</v>
      </c>
      <c r="B82" t="s">
        <v>285</v>
      </c>
      <c r="C82" t="s">
        <v>369</v>
      </c>
      <c r="D82" t="b">
        <v>0</v>
      </c>
    </row>
    <row r="83" spans="1:4" x14ac:dyDescent="0.35">
      <c r="A83" t="s">
        <v>295</v>
      </c>
      <c r="B83" t="s">
        <v>296</v>
      </c>
      <c r="C83" t="s">
        <v>369</v>
      </c>
      <c r="D83" t="b">
        <v>0</v>
      </c>
    </row>
    <row r="84" spans="1:4" x14ac:dyDescent="0.35">
      <c r="A84" t="s">
        <v>298</v>
      </c>
      <c r="B84" t="s">
        <v>299</v>
      </c>
      <c r="C84" t="s">
        <v>369</v>
      </c>
      <c r="D84" t="b">
        <v>0</v>
      </c>
    </row>
    <row r="85" spans="1:4" x14ac:dyDescent="0.35">
      <c r="A85" t="s">
        <v>315</v>
      </c>
      <c r="B85" t="s">
        <v>316</v>
      </c>
      <c r="C85" t="s">
        <v>369</v>
      </c>
      <c r="D85" t="b">
        <v>0</v>
      </c>
    </row>
    <row r="86" spans="1:4" x14ac:dyDescent="0.35">
      <c r="A86" t="s">
        <v>351</v>
      </c>
      <c r="B86" t="s">
        <v>352</v>
      </c>
      <c r="C86" t="s">
        <v>370</v>
      </c>
      <c r="D86" t="b">
        <v>0</v>
      </c>
    </row>
    <row r="87" spans="1:4" x14ac:dyDescent="0.35">
      <c r="A87" t="s">
        <v>353</v>
      </c>
      <c r="B87" t="s">
        <v>354</v>
      </c>
      <c r="C87" t="s">
        <v>370</v>
      </c>
      <c r="D87" t="b">
        <v>0</v>
      </c>
    </row>
    <row r="88" spans="1:4" x14ac:dyDescent="0.35">
      <c r="A88" t="s">
        <v>51</v>
      </c>
      <c r="B88" t="s">
        <v>52</v>
      </c>
      <c r="C88" t="s">
        <v>370</v>
      </c>
      <c r="D88" t="b">
        <v>0</v>
      </c>
    </row>
    <row r="89" spans="1:4" x14ac:dyDescent="0.35">
      <c r="A89" t="s">
        <v>347</v>
      </c>
      <c r="B89" t="s">
        <v>348</v>
      </c>
      <c r="C89" t="s">
        <v>370</v>
      </c>
      <c r="D89" t="b">
        <v>0</v>
      </c>
    </row>
    <row r="90" spans="1:4" x14ac:dyDescent="0.35">
      <c r="A90" t="s">
        <v>17</v>
      </c>
      <c r="B90" t="s">
        <v>18</v>
      </c>
      <c r="C90" t="s">
        <v>370</v>
      </c>
      <c r="D90" t="b">
        <v>0</v>
      </c>
    </row>
    <row r="91" spans="1:4" x14ac:dyDescent="0.35">
      <c r="A91" t="s">
        <v>67</v>
      </c>
      <c r="B91" t="s">
        <v>68</v>
      </c>
      <c r="C91" t="s">
        <v>370</v>
      </c>
      <c r="D91" t="b">
        <v>0</v>
      </c>
    </row>
    <row r="92" spans="1:4" x14ac:dyDescent="0.35">
      <c r="A92" t="s">
        <v>349</v>
      </c>
      <c r="B92" t="s">
        <v>350</v>
      </c>
      <c r="C92" t="s">
        <v>370</v>
      </c>
      <c r="D92" t="b">
        <v>0</v>
      </c>
    </row>
    <row r="93" spans="1:4" x14ac:dyDescent="0.35">
      <c r="A93" t="s">
        <v>81</v>
      </c>
      <c r="B93" t="s">
        <v>82</v>
      </c>
      <c r="C93" t="s">
        <v>370</v>
      </c>
      <c r="D93" t="b">
        <v>0</v>
      </c>
    </row>
    <row r="94" spans="1:4" x14ac:dyDescent="0.35">
      <c r="A94" t="s">
        <v>97</v>
      </c>
      <c r="B94" t="s">
        <v>98</v>
      </c>
      <c r="C94" t="s">
        <v>370</v>
      </c>
      <c r="D94" t="b">
        <v>0</v>
      </c>
    </row>
    <row r="95" spans="1:4" x14ac:dyDescent="0.35">
      <c r="A95" t="s">
        <v>12</v>
      </c>
      <c r="B95" t="s">
        <v>13</v>
      </c>
      <c r="C95" t="s">
        <v>370</v>
      </c>
      <c r="D95" t="b">
        <v>0</v>
      </c>
    </row>
    <row r="96" spans="1:4" x14ac:dyDescent="0.35">
      <c r="A96" t="s">
        <v>130</v>
      </c>
      <c r="B96" t="s">
        <v>131</v>
      </c>
      <c r="C96" t="s">
        <v>370</v>
      </c>
      <c r="D96" t="b">
        <v>0</v>
      </c>
    </row>
    <row r="97" spans="1:4" x14ac:dyDescent="0.35">
      <c r="A97" t="s">
        <v>357</v>
      </c>
      <c r="B97" t="s">
        <v>358</v>
      </c>
      <c r="C97" t="s">
        <v>370</v>
      </c>
      <c r="D97" t="b">
        <v>0</v>
      </c>
    </row>
    <row r="98" spans="1:4" x14ac:dyDescent="0.35">
      <c r="A98" t="s">
        <v>355</v>
      </c>
      <c r="B98" t="s">
        <v>356</v>
      </c>
      <c r="C98" t="s">
        <v>370</v>
      </c>
      <c r="D98" t="b">
        <v>0</v>
      </c>
    </row>
    <row r="99" spans="1:4" x14ac:dyDescent="0.35">
      <c r="A99" t="s">
        <v>215</v>
      </c>
      <c r="B99" t="s">
        <v>216</v>
      </c>
      <c r="C99" t="s">
        <v>370</v>
      </c>
      <c r="D99" t="b">
        <v>0</v>
      </c>
    </row>
  </sheetData>
  <conditionalFormatting sqref="D2:D99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8" workbookViewId="0">
      <selection sqref="A1:B27"/>
    </sheetView>
  </sheetViews>
  <sheetFormatPr defaultRowHeight="14.5" x14ac:dyDescent="0.35"/>
  <sheetData>
    <row r="1" spans="1:13" x14ac:dyDescent="0.35">
      <c r="A1" t="s">
        <v>2</v>
      </c>
      <c r="B1" t="s">
        <v>3</v>
      </c>
      <c r="H1" t="s">
        <v>368</v>
      </c>
    </row>
    <row r="2" spans="1:13" x14ac:dyDescent="0.35">
      <c r="A2" t="s">
        <v>72</v>
      </c>
      <c r="B2" t="s">
        <v>73</v>
      </c>
      <c r="H2" t="s">
        <v>301</v>
      </c>
      <c r="I2" t="s">
        <v>302</v>
      </c>
      <c r="J2" t="s">
        <v>364</v>
      </c>
      <c r="K2" t="s">
        <v>303</v>
      </c>
      <c r="L2" t="s">
        <v>304</v>
      </c>
      <c r="M2" t="s">
        <v>365</v>
      </c>
    </row>
    <row r="3" spans="1:13" x14ac:dyDescent="0.35">
      <c r="A3" t="s">
        <v>75</v>
      </c>
      <c r="B3" t="s">
        <v>76</v>
      </c>
      <c r="K3" t="s">
        <v>328</v>
      </c>
      <c r="L3" t="s">
        <v>329</v>
      </c>
      <c r="M3" t="s">
        <v>365</v>
      </c>
    </row>
    <row r="4" spans="1:13" x14ac:dyDescent="0.35">
      <c r="A4" t="s">
        <v>17</v>
      </c>
      <c r="B4" t="s">
        <v>18</v>
      </c>
      <c r="H4" t="s">
        <v>287</v>
      </c>
      <c r="I4" t="s">
        <v>288</v>
      </c>
      <c r="J4" t="s">
        <v>364</v>
      </c>
    </row>
    <row r="5" spans="1:13" x14ac:dyDescent="0.35">
      <c r="A5" t="s">
        <v>81</v>
      </c>
      <c r="B5" t="s">
        <v>82</v>
      </c>
      <c r="H5" t="s">
        <v>125</v>
      </c>
      <c r="I5" t="s">
        <v>126</v>
      </c>
      <c r="J5" t="s">
        <v>364</v>
      </c>
    </row>
    <row r="6" spans="1:13" x14ac:dyDescent="0.35">
      <c r="A6" t="s">
        <v>10</v>
      </c>
      <c r="B6" t="s">
        <v>340</v>
      </c>
      <c r="H6" t="s">
        <v>289</v>
      </c>
      <c r="I6" t="s">
        <v>290</v>
      </c>
      <c r="J6" t="s">
        <v>365</v>
      </c>
    </row>
    <row r="7" spans="1:13" x14ac:dyDescent="0.35">
      <c r="A7" t="s">
        <v>12</v>
      </c>
      <c r="B7" t="s">
        <v>13</v>
      </c>
      <c r="H7" t="s">
        <v>321</v>
      </c>
      <c r="I7" t="s">
        <v>322</v>
      </c>
      <c r="J7" t="s">
        <v>365</v>
      </c>
    </row>
    <row r="8" spans="1:13" x14ac:dyDescent="0.35">
      <c r="A8" t="s">
        <v>130</v>
      </c>
      <c r="B8" t="s">
        <v>131</v>
      </c>
      <c r="H8" t="s">
        <v>127</v>
      </c>
      <c r="I8" t="s">
        <v>128</v>
      </c>
      <c r="J8" t="s">
        <v>365</v>
      </c>
    </row>
    <row r="9" spans="1:13" x14ac:dyDescent="0.35">
      <c r="A9" t="s">
        <v>133</v>
      </c>
      <c r="B9" t="s">
        <v>134</v>
      </c>
      <c r="H9" t="s">
        <v>281</v>
      </c>
      <c r="I9" t="s">
        <v>282</v>
      </c>
      <c r="J9" t="s">
        <v>365</v>
      </c>
    </row>
    <row r="10" spans="1:13" x14ac:dyDescent="0.35">
      <c r="A10" t="s">
        <v>44</v>
      </c>
      <c r="B10" t="s">
        <v>45</v>
      </c>
      <c r="H10" t="s">
        <v>89</v>
      </c>
      <c r="I10" t="s">
        <v>90</v>
      </c>
      <c r="J10" t="s">
        <v>365</v>
      </c>
    </row>
    <row r="11" spans="1:13" x14ac:dyDescent="0.35">
      <c r="A11" t="s">
        <v>157</v>
      </c>
      <c r="B11" t="s">
        <v>158</v>
      </c>
      <c r="H11" t="s">
        <v>278</v>
      </c>
      <c r="I11" t="s">
        <v>279</v>
      </c>
      <c r="J11" t="s">
        <v>365</v>
      </c>
    </row>
    <row r="12" spans="1:13" x14ac:dyDescent="0.35">
      <c r="A12" t="s">
        <v>24</v>
      </c>
      <c r="B12" t="s">
        <v>25</v>
      </c>
    </row>
    <row r="13" spans="1:13" x14ac:dyDescent="0.35">
      <c r="A13" t="s">
        <v>31</v>
      </c>
      <c r="B13" t="s">
        <v>32</v>
      </c>
    </row>
    <row r="14" spans="1:13" x14ac:dyDescent="0.35">
      <c r="A14" t="s">
        <v>334</v>
      </c>
      <c r="B14" t="s">
        <v>335</v>
      </c>
    </row>
    <row r="15" spans="1:13" x14ac:dyDescent="0.35">
      <c r="A15" t="s">
        <v>57</v>
      </c>
      <c r="B15" t="s">
        <v>58</v>
      </c>
    </row>
    <row r="16" spans="1:13" x14ac:dyDescent="0.35">
      <c r="A16" t="s">
        <v>64</v>
      </c>
      <c r="B16" t="s">
        <v>65</v>
      </c>
    </row>
    <row r="17" spans="1:2" x14ac:dyDescent="0.35">
      <c r="A17" t="s">
        <v>78</v>
      </c>
      <c r="B17" t="s">
        <v>79</v>
      </c>
    </row>
    <row r="18" spans="1:2" x14ac:dyDescent="0.35">
      <c r="A18" t="s">
        <v>142</v>
      </c>
      <c r="B18" t="s">
        <v>143</v>
      </c>
    </row>
    <row r="19" spans="1:2" x14ac:dyDescent="0.35">
      <c r="A19" t="s">
        <v>292</v>
      </c>
      <c r="B19" t="s">
        <v>293</v>
      </c>
    </row>
    <row r="20" spans="1:2" x14ac:dyDescent="0.35">
      <c r="A20" t="s">
        <v>306</v>
      </c>
      <c r="B20" t="s">
        <v>307</v>
      </c>
    </row>
    <row r="21" spans="1:2" x14ac:dyDescent="0.35">
      <c r="A21" t="s">
        <v>318</v>
      </c>
      <c r="B21" t="s">
        <v>319</v>
      </c>
    </row>
    <row r="22" spans="1:2" x14ac:dyDescent="0.35">
      <c r="A22" t="s">
        <v>331</v>
      </c>
      <c r="B22" t="s">
        <v>332</v>
      </c>
    </row>
    <row r="23" spans="1:2" x14ac:dyDescent="0.35">
      <c r="A23" t="s">
        <v>112</v>
      </c>
      <c r="B23" t="s">
        <v>113</v>
      </c>
    </row>
    <row r="24" spans="1:2" x14ac:dyDescent="0.35">
      <c r="A24" t="s">
        <v>36</v>
      </c>
      <c r="B24" t="s">
        <v>37</v>
      </c>
    </row>
    <row r="25" spans="1:2" x14ac:dyDescent="0.35">
      <c r="A25" t="s">
        <v>198</v>
      </c>
      <c r="B25" t="s">
        <v>199</v>
      </c>
    </row>
    <row r="26" spans="1:2" x14ac:dyDescent="0.35">
      <c r="A26" t="s">
        <v>220</v>
      </c>
      <c r="B26" t="s">
        <v>221</v>
      </c>
    </row>
    <row r="27" spans="1:2" x14ac:dyDescent="0.35">
      <c r="A27" t="s">
        <v>325</v>
      </c>
      <c r="B27" t="s">
        <v>326</v>
      </c>
    </row>
    <row r="30" spans="1:2" x14ac:dyDescent="0.35">
      <c r="A30" t="s">
        <v>89</v>
      </c>
      <c r="B30" t="s">
        <v>90</v>
      </c>
    </row>
    <row r="31" spans="1:2" x14ac:dyDescent="0.35">
      <c r="A31" t="s">
        <v>278</v>
      </c>
      <c r="B31" t="s">
        <v>279</v>
      </c>
    </row>
    <row r="32" spans="1:2" x14ac:dyDescent="0.35">
      <c r="A32" t="s">
        <v>309</v>
      </c>
      <c r="B32" t="s">
        <v>310</v>
      </c>
    </row>
    <row r="33" spans="1:2" x14ac:dyDescent="0.35">
      <c r="A33" t="s">
        <v>312</v>
      </c>
      <c r="B33" t="s">
        <v>313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2" sqref="B2"/>
    </sheetView>
  </sheetViews>
  <sheetFormatPr defaultRowHeight="14.5" x14ac:dyDescent="0.35"/>
  <cols>
    <col min="1" max="1" width="15.81640625" bestFit="1" customWidth="1"/>
    <col min="2" max="2" width="22.26953125" bestFit="1" customWidth="1"/>
    <col min="3" max="3" width="9.6328125" bestFit="1" customWidth="1"/>
  </cols>
  <sheetData>
    <row r="1" spans="1:3" x14ac:dyDescent="0.35">
      <c r="A1" t="s">
        <v>372</v>
      </c>
      <c r="B1" t="s">
        <v>373</v>
      </c>
      <c r="C1" t="s">
        <v>361</v>
      </c>
    </row>
    <row r="2" spans="1:3" x14ac:dyDescent="0.35">
      <c r="A2" t="s">
        <v>17</v>
      </c>
      <c r="B2" t="s">
        <v>18</v>
      </c>
      <c r="C2" t="s">
        <v>365</v>
      </c>
    </row>
    <row r="3" spans="1:3" x14ac:dyDescent="0.35">
      <c r="A3" t="s">
        <v>81</v>
      </c>
      <c r="B3" t="s">
        <v>82</v>
      </c>
      <c r="C3" t="s">
        <v>365</v>
      </c>
    </row>
    <row r="4" spans="1:3" x14ac:dyDescent="0.35">
      <c r="A4" t="s">
        <v>12</v>
      </c>
      <c r="B4" t="s">
        <v>13</v>
      </c>
      <c r="C4" t="s">
        <v>365</v>
      </c>
    </row>
    <row r="5" spans="1:3" x14ac:dyDescent="0.35">
      <c r="A5" t="s">
        <v>130</v>
      </c>
      <c r="B5" t="s">
        <v>131</v>
      </c>
      <c r="C5" t="s">
        <v>365</v>
      </c>
    </row>
    <row r="6" spans="1:3" x14ac:dyDescent="0.35">
      <c r="A6" t="s">
        <v>133</v>
      </c>
      <c r="B6" t="s">
        <v>134</v>
      </c>
      <c r="C6" t="s">
        <v>365</v>
      </c>
    </row>
    <row r="7" spans="1:3" x14ac:dyDescent="0.35">
      <c r="A7" t="s">
        <v>44</v>
      </c>
      <c r="B7" t="s">
        <v>45</v>
      </c>
      <c r="C7" t="s">
        <v>365</v>
      </c>
    </row>
    <row r="8" spans="1:3" x14ac:dyDescent="0.35">
      <c r="A8" t="s">
        <v>24</v>
      </c>
      <c r="B8" t="s">
        <v>25</v>
      </c>
      <c r="C8" t="s">
        <v>365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0" sqref="I2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All_Photoquad_codes_PC_NoSTR</vt:lpstr>
      <vt:lpstr>All_Photoquad_codes_ParentChild</vt:lpstr>
      <vt:lpstr>All_Photoquad_codes_HeirarchyTr</vt:lpstr>
      <vt:lpstr>All_BrokenDown</vt:lpstr>
      <vt:lpstr>BioticTaxonomic_CP</vt:lpstr>
      <vt:lpstr>BioticTaxonomic</vt:lpstr>
      <vt:lpstr>Abiotic</vt:lpstr>
      <vt:lpstr>Morphology</vt:lpstr>
      <vt:lpstr>TaxMorph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Oliver</dc:creator>
  <cp:lastModifiedBy>Thomas Oliver</cp:lastModifiedBy>
  <dcterms:created xsi:type="dcterms:W3CDTF">2026-08-18T22:55:28Z</dcterms:created>
  <dcterms:modified xsi:type="dcterms:W3CDTF">2026-08-20T22:03:57Z</dcterms:modified>
</cp:coreProperties>
</file>